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552452B60930C136/Documents/"/>
    </mc:Choice>
  </mc:AlternateContent>
  <xr:revisionPtr revIDLastSave="3042" documentId="8_{73F54D45-439A-4ED2-B096-9CBF918BE043}" xr6:coauthVersionLast="47" xr6:coauthVersionMax="47" xr10:uidLastSave="{888B0F00-80E3-44ED-867E-E30E854FE29A}"/>
  <bookViews>
    <workbookView xWindow="-108" yWindow="-108" windowWidth="23256" windowHeight="12576" firstSheet="1" activeTab="5" xr2:uid="{1D336B75-3653-4084-B033-9BF8DFB5DBCE}"/>
  </bookViews>
  <sheets>
    <sheet name="sales data" sheetId="2" r:id="rId1"/>
    <sheet name="Grouped data" sheetId="4" r:id="rId2"/>
    <sheet name="Sales data Cleaned" sheetId="3" r:id="rId3"/>
    <sheet name="Pivots" sheetId="1" r:id="rId4"/>
    <sheet name="Charts" sheetId="5" r:id="rId5"/>
    <sheet name="Dashboard" sheetId="10" r:id="rId6"/>
  </sheets>
  <definedNames>
    <definedName name="_xlcn.WorksheetConnection_Book1.xlsxSales_data_Cleaned1" hidden="1">Sales_data_Cleaned[]</definedName>
    <definedName name="ExternalData_1" localSheetId="0" hidden="1">'sales data'!$A$1:$J$1002</definedName>
    <definedName name="ExternalData_2" localSheetId="2" hidden="1">'Sales data Cleaned'!$A$1:$P$1002</definedName>
    <definedName name="ExternalData_3" localSheetId="1" hidden="1">'Grouped data'!$A$1:$C$123</definedName>
    <definedName name="Slicer_category">#N/A</definedName>
    <definedName name="Slicer_country">#N/A</definedName>
    <definedName name="Slicer_date__Month">#N/A</definedName>
    <definedName name="Slicer_date__Year">#N/A</definedName>
    <definedName name="Slicer_device_type">#N/A</definedName>
    <definedName name="Slicer_sales_manager">#N/A</definedName>
    <definedName name="Slicer_Season">#N/A</definedName>
  </definedNames>
  <calcPr calcId="191029"/>
  <pivotCaches>
    <pivotCache cacheId="9000" r:id="rId7"/>
    <pivotCache cacheId="9003" r:id="rId8"/>
    <pivotCache cacheId="9006" r:id="rId9"/>
    <pivotCache cacheId="9009" r:id="rId10"/>
    <pivotCache cacheId="9012" r:id="rId11"/>
    <pivotCache cacheId="9015" r:id="rId12"/>
    <pivotCache cacheId="9018" r:id="rId13"/>
    <pivotCache cacheId="9021" r:id="rId14"/>
    <pivotCache cacheId="9024" r:id="rId15"/>
    <pivotCache cacheId="9027" r:id="rId16"/>
    <pivotCache cacheId="9030" r:id="rId17"/>
    <pivotCache cacheId="9033" r:id="rId18"/>
    <pivotCache cacheId="9036" r:id="rId19"/>
    <pivotCache cacheId="9039" r:id="rId20"/>
    <pivotCache cacheId="9042" r:id="rId21"/>
    <pivotCache cacheId="9045" r:id="rId22"/>
    <pivotCache cacheId="9048" r:id="rId23"/>
    <pivotCache cacheId="9051" r:id="rId24"/>
    <pivotCache cacheId="9054" r:id="rId25"/>
    <pivotCache cacheId="9057" r:id="rId26"/>
    <pivotCache cacheId="9060" r:id="rId27"/>
    <pivotCache cacheId="9063" r:id="rId28"/>
    <pivotCache cacheId="9066" r:id="rId29"/>
    <pivotCache cacheId="9069" r:id="rId30"/>
    <pivotCache cacheId="9072" r:id="rId31"/>
    <pivotCache cacheId="9075" r:id="rId32"/>
    <pivotCache cacheId="9078" r:id="rId33"/>
    <pivotCache cacheId="9081" r:id="rId34"/>
    <pivotCache cacheId="9084" r:id="rId35"/>
    <pivotCache cacheId="9087" r:id="rId36"/>
    <pivotCache cacheId="9090" r:id="rId37"/>
    <pivotCache cacheId="9093" r:id="rId38"/>
    <pivotCache cacheId="9096" r:id="rId39"/>
  </pivotCaches>
  <extLst>
    <ext xmlns:x14="http://schemas.microsoft.com/office/spreadsheetml/2009/9/main" uri="{876F7934-8845-4945-9796-88D515C7AA90}">
      <x14:pivotCaches>
        <pivotCache cacheId="4658"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Cleaned" name="Sales_data_Cleaned" connection="WorksheetConnection_Book1.xlsx!Sales_data_Cleaned"/>
        </x15:modelTables>
        <x15:extLst>
          <ext xmlns:x16="http://schemas.microsoft.com/office/spreadsheetml/2014/11/main" uri="{9835A34E-60A6-4A7C-AAB8-D5F71C897F49}">
            <x16:modelTimeGroupings>
              <x16:modelTimeGrouping tableName="Sales_data_Cleaned"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O5" i="1"/>
  <c r="P5" i="1"/>
  <c r="Q5" i="1"/>
  <c r="R5" i="1"/>
  <c r="G7" i="1"/>
  <c r="G6" i="1"/>
  <c r="G5" i="1"/>
  <c r="G4" i="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00047F-CE77-4547-861F-56AFC587B63E}" keepAlive="1" name="Query - Grouped" description="Connection to the 'Grouped' query in the workbook." type="5" refreshedVersion="8" background="1" saveData="1">
    <dbPr connection="Provider=Microsoft.Mashup.OleDb.1;Data Source=$Workbook$;Location=Grouped;Extended Properties=&quot;&quot;" command="SELECT * FROM [Grouped]"/>
  </connection>
  <connection id="2" xr16:uid="{A83C4922-1F91-4870-9C1B-4A967AED9BB9}"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3" xr16:uid="{BCA2E048-7C84-45D7-8FD2-E40A6AA36721}" keepAlive="1" name="Query - Sales data Cleaned" description="Connection to the 'Sales data Cleaned' query in the workbook." type="5" refreshedVersion="8" background="1" saveData="1">
    <dbPr connection="Provider=Microsoft.Mashup.OleDb.1;Data Source=$Workbook$;Location=&quot;Sales data Cleaned&quot;;Extended Properties=&quot;&quot;" command="SELECT * FROM [Sales data Cleaned]"/>
  </connection>
  <connection id="4" xr16:uid="{15D27F6E-50EF-4CE8-BF35-EBEFB63318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BA88313-8BAA-4368-A12C-86EFC68625D3}" name="WorksheetConnection_Book1.xlsx!Sales_data_Cleaned" type="102" refreshedVersion="8" minRefreshableVersion="5">
    <extLst>
      <ext xmlns:x15="http://schemas.microsoft.com/office/spreadsheetml/2010/11/main" uri="{DE250136-89BD-433C-8126-D09CA5730AF9}">
        <x15:connection id="Sales_data_Cleaned">
          <x15:rangePr sourceName="_xlcn.WorksheetConnection_Book1.xlsxSales_data_Cleaned1"/>
        </x15:connection>
      </ext>
    </extLst>
  </connection>
</connections>
</file>

<file path=xl/sharedStrings.xml><?xml version="1.0" encoding="utf-8"?>
<sst xmlns="http://schemas.openxmlformats.org/spreadsheetml/2006/main" count="16699" uniqueCount="1223">
  <si>
    <t>country</t>
  </si>
  <si>
    <t>order_value_EUR</t>
  </si>
  <si>
    <t>cost</t>
  </si>
  <si>
    <t>date</t>
  </si>
  <si>
    <t>category</t>
  </si>
  <si>
    <t>customer_name</t>
  </si>
  <si>
    <t>sales_manager</t>
  </si>
  <si>
    <t>sales_rep</t>
  </si>
  <si>
    <t>device_type</t>
  </si>
  <si>
    <t>order_id</t>
  </si>
  <si>
    <t>Sweden</t>
  </si>
  <si>
    <t>Games</t>
  </si>
  <si>
    <t>Konopelski LLC</t>
  </si>
  <si>
    <t>Maxie Marrow</t>
  </si>
  <si>
    <t>Tarrah Castelletti</t>
  </si>
  <si>
    <t>Tablet</t>
  </si>
  <si>
    <t>70-0511466</t>
  </si>
  <si>
    <t>France</t>
  </si>
  <si>
    <t>Wisoky Inc</t>
  </si>
  <si>
    <t>Othello Bowes</t>
  </si>
  <si>
    <t>Amelina Piscopiello</t>
  </si>
  <si>
    <t>77-3489084</t>
  </si>
  <si>
    <t>Portugal</t>
  </si>
  <si>
    <t>Appliances</t>
  </si>
  <si>
    <t>Hegmann Group</t>
  </si>
  <si>
    <t>Celine Tumasian</t>
  </si>
  <si>
    <t>Corene Shirer</t>
  </si>
  <si>
    <t>PC</t>
  </si>
  <si>
    <t>65-8218141</t>
  </si>
  <si>
    <t>Electronics</t>
  </si>
  <si>
    <t>Kirlin and Sons</t>
  </si>
  <si>
    <t>Crysta Halls</t>
  </si>
  <si>
    <t>Mobile</t>
  </si>
  <si>
    <t>29-5478106</t>
  </si>
  <si>
    <t>UK</t>
  </si>
  <si>
    <t>Schoen-Keeling</t>
  </si>
  <si>
    <t>Jessamine Apark</t>
  </si>
  <si>
    <t>Genevra Charrisson</t>
  </si>
  <si>
    <t>27-3437546</t>
  </si>
  <si>
    <t>Italy</t>
  </si>
  <si>
    <t>Clothing</t>
  </si>
  <si>
    <t>Labadie and Sons</t>
  </si>
  <si>
    <t>Piggy Roscrigg</t>
  </si>
  <si>
    <t>Joshua Prevost</t>
  </si>
  <si>
    <t>57-6602854</t>
  </si>
  <si>
    <t>Romaguera-Dietrich</t>
  </si>
  <si>
    <t>Alyosha Meah</t>
  </si>
  <si>
    <t>78-3301264</t>
  </si>
  <si>
    <t>Connelly-Mohr</t>
  </si>
  <si>
    <t>Avrit Chanders</t>
  </si>
  <si>
    <t>32-3124563</t>
  </si>
  <si>
    <t>Smartphones</t>
  </si>
  <si>
    <t>Aurelie Wren</t>
  </si>
  <si>
    <t>92-7042708</t>
  </si>
  <si>
    <t>Germany</t>
  </si>
  <si>
    <t>Accessories</t>
  </si>
  <si>
    <t>Johns and Sons</t>
  </si>
  <si>
    <t>Rickard Doogood</t>
  </si>
  <si>
    <t>Casie MacBain</t>
  </si>
  <si>
    <t>15-2994585</t>
  </si>
  <si>
    <t>Jacobson, Marvin and Brown</t>
  </si>
  <si>
    <t>48-0713329</t>
  </si>
  <si>
    <t>Fisher, Morar and Skiles</t>
  </si>
  <si>
    <t>Hortense Gerring</t>
  </si>
  <si>
    <t>16-0987104</t>
  </si>
  <si>
    <t>91-8142232</t>
  </si>
  <si>
    <t>Luxembourg</t>
  </si>
  <si>
    <t>O'Connell-Mitchell</t>
  </si>
  <si>
    <t>Ilsa Kob</t>
  </si>
  <si>
    <t>Jocelyn Laurentino</t>
  </si>
  <si>
    <t>85-9787047</t>
  </si>
  <si>
    <t>Hamill, Kulas and Roob</t>
  </si>
  <si>
    <t>Madelon Bront</t>
  </si>
  <si>
    <t>06-2196763</t>
  </si>
  <si>
    <t>Friesen-Rath</t>
  </si>
  <si>
    <t>51-9029547</t>
  </si>
  <si>
    <t>Beauty</t>
  </si>
  <si>
    <t>Friesen and Sons</t>
  </si>
  <si>
    <t>Maighdiln Upcraft</t>
  </si>
  <si>
    <t>74-1131921</t>
  </si>
  <si>
    <t>Kihn Inc</t>
  </si>
  <si>
    <t>Anita Woakes</t>
  </si>
  <si>
    <t>26-9787272</t>
  </si>
  <si>
    <t>Lueilwitz, Kerluke and Lesch</t>
  </si>
  <si>
    <t>15-6838362</t>
  </si>
  <si>
    <t>31-6585710</t>
  </si>
  <si>
    <t>Shanahan, Schaden and Parker</t>
  </si>
  <si>
    <t>Brynn Dempster</t>
  </si>
  <si>
    <t>38-0584273</t>
  </si>
  <si>
    <t>Wiza and Sons</t>
  </si>
  <si>
    <t>27-4115444</t>
  </si>
  <si>
    <t>Books</t>
  </si>
  <si>
    <t>Dickinson, Hyatt and Berge</t>
  </si>
  <si>
    <t>Jay Morefield</t>
  </si>
  <si>
    <t>70-8991739</t>
  </si>
  <si>
    <t>Franecki-White</t>
  </si>
  <si>
    <t>48-6452102</t>
  </si>
  <si>
    <t>Altenwerth-Konopelski</t>
  </si>
  <si>
    <t>58-2028009</t>
  </si>
  <si>
    <t>Other</t>
  </si>
  <si>
    <t>52-0695511</t>
  </si>
  <si>
    <t>30-3460885</t>
  </si>
  <si>
    <t>Spencer, Rogahn and Muller</t>
  </si>
  <si>
    <t>11-2653878</t>
  </si>
  <si>
    <t>Winny Agnolo</t>
  </si>
  <si>
    <t>65-0792739</t>
  </si>
  <si>
    <t>Hessel-Stiedemann</t>
  </si>
  <si>
    <t>62-4331197</t>
  </si>
  <si>
    <t>00-1398218</t>
  </si>
  <si>
    <t>Zieme, Bailey and Herzog</t>
  </si>
  <si>
    <t>Caro Morfield</t>
  </si>
  <si>
    <t>34-1570975</t>
  </si>
  <si>
    <t>99-0862667</t>
  </si>
  <si>
    <t>Morissette Group</t>
  </si>
  <si>
    <t>21-7461655</t>
  </si>
  <si>
    <t>94-1762263</t>
  </si>
  <si>
    <t>16-6855831</t>
  </si>
  <si>
    <t>86-6107692</t>
  </si>
  <si>
    <t>80-2242820</t>
  </si>
  <si>
    <t>21-4033151</t>
  </si>
  <si>
    <t>32-3534634</t>
  </si>
  <si>
    <t>88-8436664</t>
  </si>
  <si>
    <t>Bulgaria</t>
  </si>
  <si>
    <t>Charil Alpe</t>
  </si>
  <si>
    <t>Bernadine Fullagar</t>
  </si>
  <si>
    <t>06-5566367</t>
  </si>
  <si>
    <t>Armstrong-Little</t>
  </si>
  <si>
    <t>89-5350599</t>
  </si>
  <si>
    <t>37-0756560</t>
  </si>
  <si>
    <t>Finland</t>
  </si>
  <si>
    <t>Hube Corey</t>
  </si>
  <si>
    <t>Mellicent Mattys</t>
  </si>
  <si>
    <t>51-4531731</t>
  </si>
  <si>
    <t>Tillman and Sons</t>
  </si>
  <si>
    <t>39-3209780</t>
  </si>
  <si>
    <t>Swaniawski, Runolfsson and Green</t>
  </si>
  <si>
    <t>65-2022928</t>
  </si>
  <si>
    <t>08-7576451</t>
  </si>
  <si>
    <t>57-2968987</t>
  </si>
  <si>
    <t>McGlynn-Bergstrom</t>
  </si>
  <si>
    <t>60-8646184</t>
  </si>
  <si>
    <t>32-3418936</t>
  </si>
  <si>
    <t>84-1343954</t>
  </si>
  <si>
    <t>Spain</t>
  </si>
  <si>
    <t>Bashirian, Okuneva and Bechtelar</t>
  </si>
  <si>
    <t>Emalia Dinse</t>
  </si>
  <si>
    <t>Perri Aldersley</t>
  </si>
  <si>
    <t>06-9596696</t>
  </si>
  <si>
    <t>14-6700183</t>
  </si>
  <si>
    <t>Rowe, Hermiston and Kessler</t>
  </si>
  <si>
    <t>04-7976277</t>
  </si>
  <si>
    <t>Ireland</t>
  </si>
  <si>
    <t>Glenine Suttaby</t>
  </si>
  <si>
    <t>Palm Wetherald</t>
  </si>
  <si>
    <t>86-2962836</t>
  </si>
  <si>
    <t>12-1257338</t>
  </si>
  <si>
    <t>Schowalter, Lesch and Beahan</t>
  </si>
  <si>
    <t>Ora Grennan</t>
  </si>
  <si>
    <t>03-9337803</t>
  </si>
  <si>
    <t>Wat Bowkley</t>
  </si>
  <si>
    <t>28-0849652</t>
  </si>
  <si>
    <t>91-3344544</t>
  </si>
  <si>
    <t>37-0857161</t>
  </si>
  <si>
    <t>88-4621939</t>
  </si>
  <si>
    <t>Romaguera-Haley</t>
  </si>
  <si>
    <t>52-7280101</t>
  </si>
  <si>
    <t>39-1671087</t>
  </si>
  <si>
    <t>Smitty Culverhouse</t>
  </si>
  <si>
    <t>58-9821508</t>
  </si>
  <si>
    <t>Denmark</t>
  </si>
  <si>
    <t>Wyman Group</t>
  </si>
  <si>
    <t>Modestia Byfford</t>
  </si>
  <si>
    <t>Case Desorts</t>
  </si>
  <si>
    <t>60-7777080</t>
  </si>
  <si>
    <t>Dibbert Inc</t>
  </si>
  <si>
    <t>12-4881666</t>
  </si>
  <si>
    <t>85-6263705</t>
  </si>
  <si>
    <t>Parisian, Steuber and Satterfield</t>
  </si>
  <si>
    <t>23-5766200</t>
  </si>
  <si>
    <t>08-0446109</t>
  </si>
  <si>
    <t>56-6310976</t>
  </si>
  <si>
    <t>Outdoors</t>
  </si>
  <si>
    <t>11-0955383</t>
  </si>
  <si>
    <t>Abbott, Roberts and Torp</t>
  </si>
  <si>
    <t>27-7169008</t>
  </si>
  <si>
    <t>94-3251589</t>
  </si>
  <si>
    <t>57-2495984</t>
  </si>
  <si>
    <t>13-9607758</t>
  </si>
  <si>
    <t>32-1940437</t>
  </si>
  <si>
    <t>Homenick-Marvin</t>
  </si>
  <si>
    <t>49-2458036</t>
  </si>
  <si>
    <t>14-1143584</t>
  </si>
  <si>
    <t>42-2646312</t>
  </si>
  <si>
    <t>70-3373325</t>
  </si>
  <si>
    <t>25-2355172</t>
  </si>
  <si>
    <t>Smith Group</t>
  </si>
  <si>
    <t>07-3222085</t>
  </si>
  <si>
    <t>Bunnie Tonbridge</t>
  </si>
  <si>
    <t>44-1953194</t>
  </si>
  <si>
    <t>36-3226083</t>
  </si>
  <si>
    <t>92-2645259</t>
  </si>
  <si>
    <t>81-2373308</t>
  </si>
  <si>
    <t>92-4695001</t>
  </si>
  <si>
    <t>37-8204282</t>
  </si>
  <si>
    <t>82-1082124</t>
  </si>
  <si>
    <t>06-5115020</t>
  </si>
  <si>
    <t>Bertha Walbrook</t>
  </si>
  <si>
    <t>72-7630507</t>
  </si>
  <si>
    <t>65-5818172</t>
  </si>
  <si>
    <t>87-6162387</t>
  </si>
  <si>
    <t>53-1660551</t>
  </si>
  <si>
    <t>McGlynn-Prosacco</t>
  </si>
  <si>
    <t>53-1426071</t>
  </si>
  <si>
    <t>46-2632808</t>
  </si>
  <si>
    <t>Keeling, Monahan and Pollich</t>
  </si>
  <si>
    <t>82-4653018</t>
  </si>
  <si>
    <t>Netherlands</t>
  </si>
  <si>
    <t>Denice Amberg</t>
  </si>
  <si>
    <t>Nero Harbisher</t>
  </si>
  <si>
    <t>66-0265458</t>
  </si>
  <si>
    <t>16-5450021</t>
  </si>
  <si>
    <t>30-8840089</t>
  </si>
  <si>
    <t>Christiansen, Donnelly and Bechtelar</t>
  </si>
  <si>
    <t>43-5417299</t>
  </si>
  <si>
    <t>59-1230573</t>
  </si>
  <si>
    <t>Stehr-Bogan</t>
  </si>
  <si>
    <t>95-8015610</t>
  </si>
  <si>
    <t>Leffler, Prohaska and Streich</t>
  </si>
  <si>
    <t>61-4937643</t>
  </si>
  <si>
    <t>Corwin and Sons</t>
  </si>
  <si>
    <t>33-4102367</t>
  </si>
  <si>
    <t>88-5343320</t>
  </si>
  <si>
    <t>79-6676714</t>
  </si>
  <si>
    <t>Baumbach Group</t>
  </si>
  <si>
    <t>29-5632797</t>
  </si>
  <si>
    <t>36-2366573</t>
  </si>
  <si>
    <t>West-Cummings</t>
  </si>
  <si>
    <t>75-1807214</t>
  </si>
  <si>
    <t>69-8016438</t>
  </si>
  <si>
    <t>21-7344983</t>
  </si>
  <si>
    <t>38-3894304</t>
  </si>
  <si>
    <t>19-8109416</t>
  </si>
  <si>
    <t>26-0092767</t>
  </si>
  <si>
    <t>21-2589548</t>
  </si>
  <si>
    <t>Larkin-Collier</t>
  </si>
  <si>
    <t>68-0080728</t>
  </si>
  <si>
    <t>35-4551515</t>
  </si>
  <si>
    <t>Belgium</t>
  </si>
  <si>
    <t>Lambert Norheny</t>
  </si>
  <si>
    <t>Collin Mackness</t>
  </si>
  <si>
    <t>22-5761330</t>
  </si>
  <si>
    <t>96-3022721</t>
  </si>
  <si>
    <t>31-1849120</t>
  </si>
  <si>
    <t>34-3302340</t>
  </si>
  <si>
    <t>Shermy McGready</t>
  </si>
  <si>
    <t>37-9761957</t>
  </si>
  <si>
    <t>Hilll-Vandervort</t>
  </si>
  <si>
    <t>19-9205287</t>
  </si>
  <si>
    <t>53-0205940</t>
  </si>
  <si>
    <t>11-5630090</t>
  </si>
  <si>
    <t>66-5572109</t>
  </si>
  <si>
    <t>36-0185776</t>
  </si>
  <si>
    <t>Manuel Goudie</t>
  </si>
  <si>
    <t>11-2988171</t>
  </si>
  <si>
    <t>64-0103144</t>
  </si>
  <si>
    <t>43-7357498</t>
  </si>
  <si>
    <t>98-6247105</t>
  </si>
  <si>
    <t>02-9523107</t>
  </si>
  <si>
    <t>74-6920956</t>
  </si>
  <si>
    <t>Wunsch LLC</t>
  </si>
  <si>
    <t>91-4735064</t>
  </si>
  <si>
    <t>52-3150154</t>
  </si>
  <si>
    <t>Goldner-Dibbert</t>
  </si>
  <si>
    <t>02-3364199</t>
  </si>
  <si>
    <t>67-6692861</t>
  </si>
  <si>
    <t>00-8086430</t>
  </si>
  <si>
    <t>22-4278602</t>
  </si>
  <si>
    <t>Marquardt-Kuvalis</t>
  </si>
  <si>
    <t>33-0729966</t>
  </si>
  <si>
    <t>09-7835975</t>
  </si>
  <si>
    <t>56-6094665</t>
  </si>
  <si>
    <t>54-5082146</t>
  </si>
  <si>
    <t>05-0243828</t>
  </si>
  <si>
    <t>30-9025281</t>
  </si>
  <si>
    <t>75-0683725</t>
  </si>
  <si>
    <t>Hermiston, Simonis and Wisoky</t>
  </si>
  <si>
    <t>06-4986886</t>
  </si>
  <si>
    <t>45-1867999</t>
  </si>
  <si>
    <t>52-5981325</t>
  </si>
  <si>
    <t>56-2408571</t>
  </si>
  <si>
    <t>73-2763209</t>
  </si>
  <si>
    <t>77-5229094</t>
  </si>
  <si>
    <t>Stehr LLC</t>
  </si>
  <si>
    <t>10-1511807</t>
  </si>
  <si>
    <t>Rath-Schroeder</t>
  </si>
  <si>
    <t>15-9091881</t>
  </si>
  <si>
    <t>08-4398900</t>
  </si>
  <si>
    <t>47-0713476</t>
  </si>
  <si>
    <t>Cobby Andersen</t>
  </si>
  <si>
    <t>51-1141675</t>
  </si>
  <si>
    <t>Murray, Reichel and Nolan</t>
  </si>
  <si>
    <t>07-5296371</t>
  </si>
  <si>
    <t>Hartmann, Hane and Pfannerstill</t>
  </si>
  <si>
    <t>00-7326184</t>
  </si>
  <si>
    <t>55-1904761</t>
  </si>
  <si>
    <t>15-3241183</t>
  </si>
  <si>
    <t>60-1991659</t>
  </si>
  <si>
    <t>12-2375671</t>
  </si>
  <si>
    <t>Schmitt, Purdy and Johnson</t>
  </si>
  <si>
    <t>62-9738356</t>
  </si>
  <si>
    <t>77-3656041</t>
  </si>
  <si>
    <t>59-0893568</t>
  </si>
  <si>
    <t>Lubowitz, McLaughlin and Erdman</t>
  </si>
  <si>
    <t>22-7587128</t>
  </si>
  <si>
    <t>Considine-Fisher</t>
  </si>
  <si>
    <t>48-2124998</t>
  </si>
  <si>
    <t>89-0187996</t>
  </si>
  <si>
    <t>32-9344186</t>
  </si>
  <si>
    <t>34-8182639</t>
  </si>
  <si>
    <t>38-6130023</t>
  </si>
  <si>
    <t>30-7149594</t>
  </si>
  <si>
    <t>75-7443241</t>
  </si>
  <si>
    <t>16-8778373</t>
  </si>
  <si>
    <t>20-7532198</t>
  </si>
  <si>
    <t>30-7981953</t>
  </si>
  <si>
    <t>62-1694462</t>
  </si>
  <si>
    <t>98-3033030</t>
  </si>
  <si>
    <t>09-8360520</t>
  </si>
  <si>
    <t>03-2027170</t>
  </si>
  <si>
    <t>80-3039005</t>
  </si>
  <si>
    <t>46-0270404</t>
  </si>
  <si>
    <t>92-7234550</t>
  </si>
  <si>
    <t>39-5542863</t>
  </si>
  <si>
    <t>90-2530115</t>
  </si>
  <si>
    <t>79-6623911</t>
  </si>
  <si>
    <t>Gislason-Stanton</t>
  </si>
  <si>
    <t>97-5797169</t>
  </si>
  <si>
    <t>49-2256360</t>
  </si>
  <si>
    <t>40-7356336</t>
  </si>
  <si>
    <t>70-0364033</t>
  </si>
  <si>
    <t>54-7503816</t>
  </si>
  <si>
    <t>09-3747816</t>
  </si>
  <si>
    <t>82-8836162</t>
  </si>
  <si>
    <t>75-9517276</t>
  </si>
  <si>
    <t>95-4271285</t>
  </si>
  <si>
    <t>73-8632957</t>
  </si>
  <si>
    <t>82-0533747</t>
  </si>
  <si>
    <t>72-2647440</t>
  </si>
  <si>
    <t>01-8080546</t>
  </si>
  <si>
    <t>51-5334556</t>
  </si>
  <si>
    <t>93-2085046</t>
  </si>
  <si>
    <t>75-1785229</t>
  </si>
  <si>
    <t>04-1808253</t>
  </si>
  <si>
    <t>63-4386955</t>
  </si>
  <si>
    <t>00-1210718</t>
  </si>
  <si>
    <t>05-5082715</t>
  </si>
  <si>
    <t>73-9492768</t>
  </si>
  <si>
    <t>24-8477374</t>
  </si>
  <si>
    <t>81-7970957</t>
  </si>
  <si>
    <t>71-4409662</t>
  </si>
  <si>
    <t>50-2481520</t>
  </si>
  <si>
    <t>33-8484080</t>
  </si>
  <si>
    <t>57-6995715</t>
  </si>
  <si>
    <t>16-3423161</t>
  </si>
  <si>
    <t>00-4698524</t>
  </si>
  <si>
    <t>57-1931933</t>
  </si>
  <si>
    <t>85-7784608</t>
  </si>
  <si>
    <t>McClure Inc</t>
  </si>
  <si>
    <t>48-7252604</t>
  </si>
  <si>
    <t>67-6072579</t>
  </si>
  <si>
    <t>48-7080069</t>
  </si>
  <si>
    <t>66-7717800</t>
  </si>
  <si>
    <t>04-6732680</t>
  </si>
  <si>
    <t>Walter LLC</t>
  </si>
  <si>
    <t>76-2572347</t>
  </si>
  <si>
    <t>48-8166416</t>
  </si>
  <si>
    <t>62-7218897</t>
  </si>
  <si>
    <t>04-2863062</t>
  </si>
  <si>
    <t>74-0214938</t>
  </si>
  <si>
    <t>50-1986322</t>
  </si>
  <si>
    <t>93-9111830</t>
  </si>
  <si>
    <t>36-1142710</t>
  </si>
  <si>
    <t>44-7664180</t>
  </si>
  <si>
    <t>78-3726363</t>
  </si>
  <si>
    <t>54-5705354</t>
  </si>
  <si>
    <t>04-2788693</t>
  </si>
  <si>
    <t>15-2503493</t>
  </si>
  <si>
    <t>56-2537757</t>
  </si>
  <si>
    <t>94-0775004</t>
  </si>
  <si>
    <t>44-5240815</t>
  </si>
  <si>
    <t>98-5257166</t>
  </si>
  <si>
    <t>74-6211038</t>
  </si>
  <si>
    <t>18-2580592</t>
  </si>
  <si>
    <t>82-4770311</t>
  </si>
  <si>
    <t>56-9241023</t>
  </si>
  <si>
    <t>02-3333733</t>
  </si>
  <si>
    <t>Gleichner-Green</t>
  </si>
  <si>
    <t>96-1698894</t>
  </si>
  <si>
    <t>70-9736399</t>
  </si>
  <si>
    <t>37-6597365</t>
  </si>
  <si>
    <t>Farrell, Swaniawski and Crist</t>
  </si>
  <si>
    <t>14-5110197</t>
  </si>
  <si>
    <t>68-6141868</t>
  </si>
  <si>
    <t>28-7069317</t>
  </si>
  <si>
    <t>19-1017922</t>
  </si>
  <si>
    <t>07-6200800</t>
  </si>
  <si>
    <t>70-0112393</t>
  </si>
  <si>
    <t>81-4176165</t>
  </si>
  <si>
    <t>87-7908481</t>
  </si>
  <si>
    <t>25-6638623</t>
  </si>
  <si>
    <t>01-4729172</t>
  </si>
  <si>
    <t>12-4509008</t>
  </si>
  <si>
    <t>83-9569509</t>
  </si>
  <si>
    <t>92-4440351</t>
  </si>
  <si>
    <t>55-4161787</t>
  </si>
  <si>
    <t>Stamm-Zulauf</t>
  </si>
  <si>
    <t>21-4464304</t>
  </si>
  <si>
    <t>38-6891011</t>
  </si>
  <si>
    <t>51-3543971</t>
  </si>
  <si>
    <t>46-2962443</t>
  </si>
  <si>
    <t>78-7666796</t>
  </si>
  <si>
    <t>60-0406937</t>
  </si>
  <si>
    <t>89-7467187</t>
  </si>
  <si>
    <t>85-6625096</t>
  </si>
  <si>
    <t>56-7910696</t>
  </si>
  <si>
    <t>49-7167664</t>
  </si>
  <si>
    <t>30-9690927</t>
  </si>
  <si>
    <t>70-4650708</t>
  </si>
  <si>
    <t>71-1921602</t>
  </si>
  <si>
    <t>84-5310661</t>
  </si>
  <si>
    <t>47-9858688</t>
  </si>
  <si>
    <t>26-1781486</t>
  </si>
  <si>
    <t>70-5394452</t>
  </si>
  <si>
    <t>15-7053450</t>
  </si>
  <si>
    <t>Hane Inc</t>
  </si>
  <si>
    <t>22-6046651</t>
  </si>
  <si>
    <t>29-1727395</t>
  </si>
  <si>
    <t>63-0019978</t>
  </si>
  <si>
    <t>53-2132479</t>
  </si>
  <si>
    <t>84-0679518</t>
  </si>
  <si>
    <t>71-6499815</t>
  </si>
  <si>
    <t>98-0946281</t>
  </si>
  <si>
    <t>90-6933957</t>
  </si>
  <si>
    <t>29-8090560</t>
  </si>
  <si>
    <t>82-0537890</t>
  </si>
  <si>
    <t>40-9830607</t>
  </si>
  <si>
    <t>21-6670877</t>
  </si>
  <si>
    <t>68-5024232</t>
  </si>
  <si>
    <t>13-0833129</t>
  </si>
  <si>
    <t>53-0009701</t>
  </si>
  <si>
    <t>96-7625873</t>
  </si>
  <si>
    <t>84-9167618</t>
  </si>
  <si>
    <t>67-2823354</t>
  </si>
  <si>
    <t>07-7047482</t>
  </si>
  <si>
    <t>01-7655863</t>
  </si>
  <si>
    <t>47-5319780</t>
  </si>
  <si>
    <t>78-5541691</t>
  </si>
  <si>
    <t>93-9941140</t>
  </si>
  <si>
    <t>91-0416047</t>
  </si>
  <si>
    <t>46-6126203</t>
  </si>
  <si>
    <t>44-9908550</t>
  </si>
  <si>
    <t>Stamm Inc</t>
  </si>
  <si>
    <t>27-9800293</t>
  </si>
  <si>
    <t>68-0176456</t>
  </si>
  <si>
    <t>66-7112079</t>
  </si>
  <si>
    <t>95-1862126</t>
  </si>
  <si>
    <t>03-3076058</t>
  </si>
  <si>
    <t>22-8551804</t>
  </si>
  <si>
    <t>85-3431441</t>
  </si>
  <si>
    <t>47-6702070</t>
  </si>
  <si>
    <t>39-6568658</t>
  </si>
  <si>
    <t>Heaney, Gulgowski and Kshlerin</t>
  </si>
  <si>
    <t>24-9178520</t>
  </si>
  <si>
    <t>61-4366487</t>
  </si>
  <si>
    <t>61-0888460</t>
  </si>
  <si>
    <t>54-3353166</t>
  </si>
  <si>
    <t>93-0380487</t>
  </si>
  <si>
    <t>17-0893784</t>
  </si>
  <si>
    <t>34-0286364</t>
  </si>
  <si>
    <t>46-1318487</t>
  </si>
  <si>
    <t>43-8355995</t>
  </si>
  <si>
    <t>20-3441688</t>
  </si>
  <si>
    <t>63-1220717</t>
  </si>
  <si>
    <t>25-2616039</t>
  </si>
  <si>
    <t>20-0499139</t>
  </si>
  <si>
    <t>92-6298656</t>
  </si>
  <si>
    <t>57-9765345</t>
  </si>
  <si>
    <t>16-9758497</t>
  </si>
  <si>
    <t>10-4704941</t>
  </si>
  <si>
    <t>70-8181545</t>
  </si>
  <si>
    <t>15-5051694</t>
  </si>
  <si>
    <t>20-4568650</t>
  </si>
  <si>
    <t>40-9497268</t>
  </si>
  <si>
    <t>77-4566105</t>
  </si>
  <si>
    <t>17-3178991</t>
  </si>
  <si>
    <t>25-9913528</t>
  </si>
  <si>
    <t>96-0020600</t>
  </si>
  <si>
    <t>66-8222460</t>
  </si>
  <si>
    <t>84-5642889</t>
  </si>
  <si>
    <t>19-6334792</t>
  </si>
  <si>
    <t>53-3037652</t>
  </si>
  <si>
    <t>47-9191500</t>
  </si>
  <si>
    <t>44-9179070</t>
  </si>
  <si>
    <t>21-3278349</t>
  </si>
  <si>
    <t>56-1063618</t>
  </si>
  <si>
    <t>68-3731565</t>
  </si>
  <si>
    <t>38-2969743</t>
  </si>
  <si>
    <t>84-2496865</t>
  </si>
  <si>
    <t>03-3461826</t>
  </si>
  <si>
    <t>62-3312495</t>
  </si>
  <si>
    <t>44-2650716</t>
  </si>
  <si>
    <t>73-4726386</t>
  </si>
  <si>
    <t>84-2858993</t>
  </si>
  <si>
    <t>Austria</t>
  </si>
  <si>
    <t>Orsa Geekin</t>
  </si>
  <si>
    <t>Bank Coumbe</t>
  </si>
  <si>
    <t>24-2403756</t>
  </si>
  <si>
    <t>67-2684209</t>
  </si>
  <si>
    <t>26-1201622</t>
  </si>
  <si>
    <t>12-2202467</t>
  </si>
  <si>
    <t>99-3971751</t>
  </si>
  <si>
    <t>10-5202864</t>
  </si>
  <si>
    <t>95-2190016</t>
  </si>
  <si>
    <t>49-1493117</t>
  </si>
  <si>
    <t>45-3085595</t>
  </si>
  <si>
    <t>72-7973717</t>
  </si>
  <si>
    <t>72-4825752</t>
  </si>
  <si>
    <t>80-3206606</t>
  </si>
  <si>
    <t>22-5929243</t>
  </si>
  <si>
    <t>96-5231814</t>
  </si>
  <si>
    <t>84-1062113</t>
  </si>
  <si>
    <t>89-8942175</t>
  </si>
  <si>
    <t>44-9978904</t>
  </si>
  <si>
    <t>28-1840061</t>
  </si>
  <si>
    <t>19-3893110</t>
  </si>
  <si>
    <t>60-6998932</t>
  </si>
  <si>
    <t>99-9599677</t>
  </si>
  <si>
    <t>11-5260310</t>
  </si>
  <si>
    <t>76-2368068</t>
  </si>
  <si>
    <t>35-6825112</t>
  </si>
  <si>
    <t>25-6368157</t>
  </si>
  <si>
    <t>41-6241712</t>
  </si>
  <si>
    <t>65-0441590</t>
  </si>
  <si>
    <t>62-1501210</t>
  </si>
  <si>
    <t>15-3657248</t>
  </si>
  <si>
    <t>69-4462108</t>
  </si>
  <si>
    <t>53-7680732</t>
  </si>
  <si>
    <t>31-8846200</t>
  </si>
  <si>
    <t>34-3119010</t>
  </si>
  <si>
    <t>24-3140242</t>
  </si>
  <si>
    <t>60-9753536</t>
  </si>
  <si>
    <t>13-6163562</t>
  </si>
  <si>
    <t>78-8990131</t>
  </si>
  <si>
    <t>14-9919657</t>
  </si>
  <si>
    <t>84-5276032</t>
  </si>
  <si>
    <t>79-0973971</t>
  </si>
  <si>
    <t>55-4588115</t>
  </si>
  <si>
    <t>52-8377955</t>
  </si>
  <si>
    <t>37-2363680</t>
  </si>
  <si>
    <t>16-5837761</t>
  </si>
  <si>
    <t>01-8696189</t>
  </si>
  <si>
    <t>94-2134593</t>
  </si>
  <si>
    <t>84-9254695</t>
  </si>
  <si>
    <t>18-0704377</t>
  </si>
  <si>
    <t>03-4651559</t>
  </si>
  <si>
    <t>79-8966057</t>
  </si>
  <si>
    <t>47-5524071</t>
  </si>
  <si>
    <t>82-4495901</t>
  </si>
  <si>
    <t>36-2012010</t>
  </si>
  <si>
    <t>91-7317758</t>
  </si>
  <si>
    <t>36-2694099</t>
  </si>
  <si>
    <t>74-9554997</t>
  </si>
  <si>
    <t>57-5645459</t>
  </si>
  <si>
    <t>67-8646070</t>
  </si>
  <si>
    <t>62-5120016</t>
  </si>
  <si>
    <t>16-3842379</t>
  </si>
  <si>
    <t>73-8057834</t>
  </si>
  <si>
    <t>76-8416893</t>
  </si>
  <si>
    <t>80-1021367</t>
  </si>
  <si>
    <t>89-2424262</t>
  </si>
  <si>
    <t>01-1212783</t>
  </si>
  <si>
    <t>20-1827241</t>
  </si>
  <si>
    <t>18-7046062</t>
  </si>
  <si>
    <t>03-3542738</t>
  </si>
  <si>
    <t>73-3464233</t>
  </si>
  <si>
    <t>88-1349718</t>
  </si>
  <si>
    <t>52-9152387</t>
  </si>
  <si>
    <t>85-9560144</t>
  </si>
  <si>
    <t>76-0724533</t>
  </si>
  <si>
    <t>36-7597839</t>
  </si>
  <si>
    <t>44-6408586</t>
  </si>
  <si>
    <t>18-0483044</t>
  </si>
  <si>
    <t>19-3129154</t>
  </si>
  <si>
    <t>74-8625042</t>
  </si>
  <si>
    <t>97-4830372</t>
  </si>
  <si>
    <t>Gorczany-Lehner</t>
  </si>
  <si>
    <t>57-8678621</t>
  </si>
  <si>
    <t>21-8525376</t>
  </si>
  <si>
    <t>74-6473826</t>
  </si>
  <si>
    <t>98-3051699</t>
  </si>
  <si>
    <t>66-4296261</t>
  </si>
  <si>
    <t>64-5761908</t>
  </si>
  <si>
    <t>68-6900528</t>
  </si>
  <si>
    <t>03-4045721</t>
  </si>
  <si>
    <t>82-0616982</t>
  </si>
  <si>
    <t>07-1769568</t>
  </si>
  <si>
    <t>52-0213558</t>
  </si>
  <si>
    <t>90-7039701</t>
  </si>
  <si>
    <t>75-7291972</t>
  </si>
  <si>
    <t>27-7554919</t>
  </si>
  <si>
    <t>74-6221213</t>
  </si>
  <si>
    <t>50-0942872</t>
  </si>
  <si>
    <t>37-6033123</t>
  </si>
  <si>
    <t>13-1936536</t>
  </si>
  <si>
    <t>68-9875936</t>
  </si>
  <si>
    <t>64-1003834</t>
  </si>
  <si>
    <t>75-6291395</t>
  </si>
  <si>
    <t>31-9806848</t>
  </si>
  <si>
    <t>74-7472724</t>
  </si>
  <si>
    <t>66-6777720</t>
  </si>
  <si>
    <t>18-5234470</t>
  </si>
  <si>
    <t>82-8353642</t>
  </si>
  <si>
    <t>93-5465623</t>
  </si>
  <si>
    <t>77-3226391</t>
  </si>
  <si>
    <t>02-9253490</t>
  </si>
  <si>
    <t>78-6287811</t>
  </si>
  <si>
    <t>10-9932801</t>
  </si>
  <si>
    <t>29-0601002</t>
  </si>
  <si>
    <t>43-9259516</t>
  </si>
  <si>
    <t>13-0526029</t>
  </si>
  <si>
    <t>92-3462655</t>
  </si>
  <si>
    <t>74-4541594</t>
  </si>
  <si>
    <t>39-3557596</t>
  </si>
  <si>
    <t>02-1124101</t>
  </si>
  <si>
    <t>55-1395838</t>
  </si>
  <si>
    <t>52-7049356</t>
  </si>
  <si>
    <t>99-9215178</t>
  </si>
  <si>
    <t>75-6127722</t>
  </si>
  <si>
    <t>65-5376517</t>
  </si>
  <si>
    <t>68-9634139</t>
  </si>
  <si>
    <t>87-0922827</t>
  </si>
  <si>
    <t>70-1769929</t>
  </si>
  <si>
    <t>22-6938537</t>
  </si>
  <si>
    <t>86-3876359</t>
  </si>
  <si>
    <t>06-4611284</t>
  </si>
  <si>
    <t>31-2600204</t>
  </si>
  <si>
    <t>12-1249283</t>
  </si>
  <si>
    <t>96-1991854</t>
  </si>
  <si>
    <t>33-4706706</t>
  </si>
  <si>
    <t>88-1711226</t>
  </si>
  <si>
    <t>74-4429133</t>
  </si>
  <si>
    <t>31-7075495</t>
  </si>
  <si>
    <t>99-9093075</t>
  </si>
  <si>
    <t>54-1058965</t>
  </si>
  <si>
    <t>95-3196761</t>
  </si>
  <si>
    <t>48-2932903</t>
  </si>
  <si>
    <t>Tromp LLC</t>
  </si>
  <si>
    <t>36-4321653</t>
  </si>
  <si>
    <t>95-7886861</t>
  </si>
  <si>
    <t>19-9649739</t>
  </si>
  <si>
    <t>59-2117058</t>
  </si>
  <si>
    <t>28-6152726</t>
  </si>
  <si>
    <t>34-8728117</t>
  </si>
  <si>
    <t>98-8250897</t>
  </si>
  <si>
    <t>65-2631885</t>
  </si>
  <si>
    <t>91-4296427</t>
  </si>
  <si>
    <t>30-9137723</t>
  </si>
  <si>
    <t>35-7483371</t>
  </si>
  <si>
    <t>86-6380587</t>
  </si>
  <si>
    <t>04-4730440</t>
  </si>
  <si>
    <t>47-5733147</t>
  </si>
  <si>
    <t>69-6259390</t>
  </si>
  <si>
    <t>59-3526945</t>
  </si>
  <si>
    <t>12-3815754</t>
  </si>
  <si>
    <t>23-1397222</t>
  </si>
  <si>
    <t>80-1374023</t>
  </si>
  <si>
    <t>98-4201877</t>
  </si>
  <si>
    <t>26-9948924</t>
  </si>
  <si>
    <t>04-8899739</t>
  </si>
  <si>
    <t>76-1827989</t>
  </si>
  <si>
    <t>67-3929836</t>
  </si>
  <si>
    <t>60-7663173</t>
  </si>
  <si>
    <t>86-6763776</t>
  </si>
  <si>
    <t>02-3972649</t>
  </si>
  <si>
    <t>87-5540520</t>
  </si>
  <si>
    <t>99-8643527</t>
  </si>
  <si>
    <t>47-7207206</t>
  </si>
  <si>
    <t>70-0044622</t>
  </si>
  <si>
    <t>86-6760202</t>
  </si>
  <si>
    <t>64-9816105</t>
  </si>
  <si>
    <t>20-1013432</t>
  </si>
  <si>
    <t>75-5652593</t>
  </si>
  <si>
    <t>77-7771177</t>
  </si>
  <si>
    <t>41-0722740</t>
  </si>
  <si>
    <t>85-5544928</t>
  </si>
  <si>
    <t>70-7769332</t>
  </si>
  <si>
    <t>46-9710750</t>
  </si>
  <si>
    <t>44-9036885</t>
  </si>
  <si>
    <t>64-4188827</t>
  </si>
  <si>
    <t>61-3721294</t>
  </si>
  <si>
    <t>34-0232219</t>
  </si>
  <si>
    <t>81-1454737</t>
  </si>
  <si>
    <t>57-7927520</t>
  </si>
  <si>
    <t>72-2796883</t>
  </si>
  <si>
    <t>94-1199389</t>
  </si>
  <si>
    <t>97-8921759</t>
  </si>
  <si>
    <t>96-1388247</t>
  </si>
  <si>
    <t>46-5888587</t>
  </si>
  <si>
    <t>44-0527427</t>
  </si>
  <si>
    <t>47-0640313</t>
  </si>
  <si>
    <t>50-8357453</t>
  </si>
  <si>
    <t>46-8792953</t>
  </si>
  <si>
    <t>47-9701762</t>
  </si>
  <si>
    <t>66-2612057</t>
  </si>
  <si>
    <t>11-6024248</t>
  </si>
  <si>
    <t>93-4118211</t>
  </si>
  <si>
    <t>33-8547717</t>
  </si>
  <si>
    <t>76-3837496</t>
  </si>
  <si>
    <t>24-6566439</t>
  </si>
  <si>
    <t>28-0622425</t>
  </si>
  <si>
    <t>99-3994854</t>
  </si>
  <si>
    <t>71-2709641</t>
  </si>
  <si>
    <t>84-4465649</t>
  </si>
  <si>
    <t>37-7100862</t>
  </si>
  <si>
    <t>57-6427586</t>
  </si>
  <si>
    <t>97-8712680</t>
  </si>
  <si>
    <t>06-8466490</t>
  </si>
  <si>
    <t>88-5406813</t>
  </si>
  <si>
    <t>55-4422832</t>
  </si>
  <si>
    <t>11-5257937</t>
  </si>
  <si>
    <t>56-0800364</t>
  </si>
  <si>
    <t>29-0072186</t>
  </si>
  <si>
    <t>74-9856135</t>
  </si>
  <si>
    <t>63-2957047</t>
  </si>
  <si>
    <t>21-8595718</t>
  </si>
  <si>
    <t>14-1283254</t>
  </si>
  <si>
    <t>79-0393736</t>
  </si>
  <si>
    <t>55-3118263</t>
  </si>
  <si>
    <t>91-4126746</t>
  </si>
  <si>
    <t>59-5711012</t>
  </si>
  <si>
    <t>56-8476539</t>
  </si>
  <si>
    <t>97-5858605</t>
  </si>
  <si>
    <t>75-8968627</t>
  </si>
  <si>
    <t>55-5032186</t>
  </si>
  <si>
    <t>93-8309926</t>
  </si>
  <si>
    <t>26-5649751</t>
  </si>
  <si>
    <t>58-9822844</t>
  </si>
  <si>
    <t>59-5892824</t>
  </si>
  <si>
    <t>83-7592334</t>
  </si>
  <si>
    <t>45-5509135</t>
  </si>
  <si>
    <t>98-1814878</t>
  </si>
  <si>
    <t>17-1884075</t>
  </si>
  <si>
    <t>19-4538571</t>
  </si>
  <si>
    <t>28-0362135</t>
  </si>
  <si>
    <t>26-9826298</t>
  </si>
  <si>
    <t>Schuster Inc</t>
  </si>
  <si>
    <t>94-3590580</t>
  </si>
  <si>
    <t>22-6745595</t>
  </si>
  <si>
    <t>81-9457605</t>
  </si>
  <si>
    <t>99-7422044</t>
  </si>
  <si>
    <t>58-2923511</t>
  </si>
  <si>
    <t>10-9241948</t>
  </si>
  <si>
    <t>55-7848276</t>
  </si>
  <si>
    <t>08-5093310</t>
  </si>
  <si>
    <t>23-0941629</t>
  </si>
  <si>
    <t>79-6118087</t>
  </si>
  <si>
    <t>39-2536155</t>
  </si>
  <si>
    <t>46-0117523</t>
  </si>
  <si>
    <t>92-7917751</t>
  </si>
  <si>
    <t>80-8230605</t>
  </si>
  <si>
    <t>43-4245267</t>
  </si>
  <si>
    <t>30-4823900</t>
  </si>
  <si>
    <t>29-1001593</t>
  </si>
  <si>
    <t>89-3466746</t>
  </si>
  <si>
    <t>20-1191256</t>
  </si>
  <si>
    <t>24-2442637</t>
  </si>
  <si>
    <t>31-8836719</t>
  </si>
  <si>
    <t>98-2104934</t>
  </si>
  <si>
    <t>29-1888759</t>
  </si>
  <si>
    <t>43-6672888</t>
  </si>
  <si>
    <t>76-5919033</t>
  </si>
  <si>
    <t>76-5888381</t>
  </si>
  <si>
    <t>85-4732103</t>
  </si>
  <si>
    <t>22-9949979</t>
  </si>
  <si>
    <t>16-5710075</t>
  </si>
  <si>
    <t>21-2357660</t>
  </si>
  <si>
    <t>95-6123269</t>
  </si>
  <si>
    <t>82-9352154</t>
  </si>
  <si>
    <t>38-7603760</t>
  </si>
  <si>
    <t>35-6942653</t>
  </si>
  <si>
    <t>40-0265810</t>
  </si>
  <si>
    <t>63-7370049</t>
  </si>
  <si>
    <t>78-6165949</t>
  </si>
  <si>
    <t>00-6227453</t>
  </si>
  <si>
    <t>29-9208067</t>
  </si>
  <si>
    <t>73-3910940</t>
  </si>
  <si>
    <t>55-2128150</t>
  </si>
  <si>
    <t>52-3394023</t>
  </si>
  <si>
    <t>38-2806168</t>
  </si>
  <si>
    <t>97-5905883</t>
  </si>
  <si>
    <t>29-3662564</t>
  </si>
  <si>
    <t>38-8840357</t>
  </si>
  <si>
    <t>03-8586261</t>
  </si>
  <si>
    <t>80-1894360</t>
  </si>
  <si>
    <t>35-9605742</t>
  </si>
  <si>
    <t>73-6329299</t>
  </si>
  <si>
    <t>53-0615558</t>
  </si>
  <si>
    <t>97-1288901</t>
  </si>
  <si>
    <t>51-0837613</t>
  </si>
  <si>
    <t>Lind, Mueller and Stoltenberg</t>
  </si>
  <si>
    <t>53-3803984</t>
  </si>
  <si>
    <t>65-0414599</t>
  </si>
  <si>
    <t>65-4008552</t>
  </si>
  <si>
    <t>61-7979087</t>
  </si>
  <si>
    <t>98-4157323</t>
  </si>
  <si>
    <t>18-1809309</t>
  </si>
  <si>
    <t>58-5376153</t>
  </si>
  <si>
    <t>85-2223377</t>
  </si>
  <si>
    <t>46-5327740</t>
  </si>
  <si>
    <t>79-1331359</t>
  </si>
  <si>
    <t>16-2824654</t>
  </si>
  <si>
    <t>40-5308505</t>
  </si>
  <si>
    <t>84-1745028</t>
  </si>
  <si>
    <t>03-3965480</t>
  </si>
  <si>
    <t>51-5324396</t>
  </si>
  <si>
    <t>46-6076582</t>
  </si>
  <si>
    <t>45-5157875</t>
  </si>
  <si>
    <t>70-9378988</t>
  </si>
  <si>
    <t>11-8965256</t>
  </si>
  <si>
    <t>25-6133000</t>
  </si>
  <si>
    <t>95-1195568</t>
  </si>
  <si>
    <t>85-1464621</t>
  </si>
  <si>
    <t>24-7985425</t>
  </si>
  <si>
    <t>80-4161102</t>
  </si>
  <si>
    <t>73-9246627</t>
  </si>
  <si>
    <t>32-3994860</t>
  </si>
  <si>
    <t>36-3410564</t>
  </si>
  <si>
    <t>96-7618409</t>
  </si>
  <si>
    <t>42-1879788</t>
  </si>
  <si>
    <t>88-7664123</t>
  </si>
  <si>
    <t>35-1705563</t>
  </si>
  <si>
    <t>15-8765160</t>
  </si>
  <si>
    <t>39-5953116</t>
  </si>
  <si>
    <t>75-7848944</t>
  </si>
  <si>
    <t>02-6830973</t>
  </si>
  <si>
    <t>95-4281933</t>
  </si>
  <si>
    <t>23-3084772</t>
  </si>
  <si>
    <t>17-4401585</t>
  </si>
  <si>
    <t>97-6414953</t>
  </si>
  <si>
    <t>75-5380350</t>
  </si>
  <si>
    <t>03-5073152</t>
  </si>
  <si>
    <t>94-0623186</t>
  </si>
  <si>
    <t>66-5810051</t>
  </si>
  <si>
    <t>34-8443139</t>
  </si>
  <si>
    <t>89-0300778</t>
  </si>
  <si>
    <t>48-3484986</t>
  </si>
  <si>
    <t>03-0455038</t>
  </si>
  <si>
    <t>80-5258827</t>
  </si>
  <si>
    <t>50-0376562</t>
  </si>
  <si>
    <t>84-2614836</t>
  </si>
  <si>
    <t>53-3568171</t>
  </si>
  <si>
    <t>63-6767584</t>
  </si>
  <si>
    <t>43-7205800</t>
  </si>
  <si>
    <t>72-9074281</t>
  </si>
  <si>
    <t>60-8661261</t>
  </si>
  <si>
    <t>38-8230515</t>
  </si>
  <si>
    <t>84-0565956</t>
  </si>
  <si>
    <t>53-4511393</t>
  </si>
  <si>
    <t>09-3959499</t>
  </si>
  <si>
    <t>33-2816759</t>
  </si>
  <si>
    <t>98-9382686</t>
  </si>
  <si>
    <t>21-2097342</t>
  </si>
  <si>
    <t>01-6573793</t>
  </si>
  <si>
    <t>51-9052860</t>
  </si>
  <si>
    <t>18-3315246</t>
  </si>
  <si>
    <t>86-7866497</t>
  </si>
  <si>
    <t>79-4826735</t>
  </si>
  <si>
    <t>29-5158368</t>
  </si>
  <si>
    <t>30-8215510</t>
  </si>
  <si>
    <t>99-3651863</t>
  </si>
  <si>
    <t>29-6521179</t>
  </si>
  <si>
    <t>30-0037690</t>
  </si>
  <si>
    <t>98-5774102</t>
  </si>
  <si>
    <t>66-6360568</t>
  </si>
  <si>
    <t>71-3278650</t>
  </si>
  <si>
    <t>42-8394841</t>
  </si>
  <si>
    <t>55-6785409</t>
  </si>
  <si>
    <t>85-9541179</t>
  </si>
  <si>
    <t>28-6038070</t>
  </si>
  <si>
    <t>45-2229786</t>
  </si>
  <si>
    <t>09-7737652</t>
  </si>
  <si>
    <t>50-0521963</t>
  </si>
  <si>
    <t>36-8783637</t>
  </si>
  <si>
    <t>81-0573181</t>
  </si>
  <si>
    <t>00-2549549</t>
  </si>
  <si>
    <t>59-0348389</t>
  </si>
  <si>
    <t>55-1050582</t>
  </si>
  <si>
    <t>34-5150360</t>
  </si>
  <si>
    <t>80-7090422</t>
  </si>
  <si>
    <t>54-2767741</t>
  </si>
  <si>
    <t>34-0783331</t>
  </si>
  <si>
    <t>49-7876403</t>
  </si>
  <si>
    <t>19-9073616</t>
  </si>
  <si>
    <t>72-3928347</t>
  </si>
  <si>
    <t>42-7027181</t>
  </si>
  <si>
    <t>04-6161825</t>
  </si>
  <si>
    <t>40-8287610</t>
  </si>
  <si>
    <t>60-8083173</t>
  </si>
  <si>
    <t>68-1806238</t>
  </si>
  <si>
    <t>73-4380400</t>
  </si>
  <si>
    <t>49-8489293</t>
  </si>
  <si>
    <t>64-4923214</t>
  </si>
  <si>
    <t>32-5562588</t>
  </si>
  <si>
    <t>35-4712641</t>
  </si>
  <si>
    <t>15-5167065</t>
  </si>
  <si>
    <t>32-2110689</t>
  </si>
  <si>
    <t>94-8641337</t>
  </si>
  <si>
    <t>24-6905998</t>
  </si>
  <si>
    <t>82-2837449</t>
  </si>
  <si>
    <t>46-4560578</t>
  </si>
  <si>
    <t>19-5610175</t>
  </si>
  <si>
    <t>81-9170157</t>
  </si>
  <si>
    <t>53-1326953</t>
  </si>
  <si>
    <t>75-6038587</t>
  </si>
  <si>
    <t>94-8026718</t>
  </si>
  <si>
    <t>09-3668672</t>
  </si>
  <si>
    <t>90-2797129</t>
  </si>
  <si>
    <t>57-4142025</t>
  </si>
  <si>
    <t>88-8981595</t>
  </si>
  <si>
    <t>35-0548738</t>
  </si>
  <si>
    <t>96-5143420</t>
  </si>
  <si>
    <t>85-8092784</t>
  </si>
  <si>
    <t>47-8186791</t>
  </si>
  <si>
    <t>80-5941460</t>
  </si>
  <si>
    <t>67-3672347</t>
  </si>
  <si>
    <t>92-5154775</t>
  </si>
  <si>
    <t>61-8262308</t>
  </si>
  <si>
    <t>34-4313860</t>
  </si>
  <si>
    <t>44-9239029</t>
  </si>
  <si>
    <t>61-0532585</t>
  </si>
  <si>
    <t>16-9079414</t>
  </si>
  <si>
    <t>20-3384992</t>
  </si>
  <si>
    <t>45-5963143</t>
  </si>
  <si>
    <t>34-9966345</t>
  </si>
  <si>
    <t>15-2948501</t>
  </si>
  <si>
    <t>61-7521706</t>
  </si>
  <si>
    <t>99-9021526</t>
  </si>
  <si>
    <t>71-4782689</t>
  </si>
  <si>
    <t>61-4610981</t>
  </si>
  <si>
    <t>42-5303223</t>
  </si>
  <si>
    <t>60-6055725</t>
  </si>
  <si>
    <t>44-2994974</t>
  </si>
  <si>
    <t>98-5721101</t>
  </si>
  <si>
    <t>34-6603897</t>
  </si>
  <si>
    <t>99-7842298</t>
  </si>
  <si>
    <t>45-3965395</t>
  </si>
  <si>
    <t>24-7300640</t>
  </si>
  <si>
    <t>58-7865136</t>
  </si>
  <si>
    <t>98-3280428</t>
  </si>
  <si>
    <t>86-9456489</t>
  </si>
  <si>
    <t>70-7426559</t>
  </si>
  <si>
    <t>82-2840501</t>
  </si>
  <si>
    <t>24-4511396</t>
  </si>
  <si>
    <t>84-0460695</t>
  </si>
  <si>
    <t>09-3404706</t>
  </si>
  <si>
    <t>75-3776704</t>
  </si>
  <si>
    <t>47-5051773</t>
  </si>
  <si>
    <t>56-2783503</t>
  </si>
  <si>
    <t>78-7812852</t>
  </si>
  <si>
    <t>87-9980890</t>
  </si>
  <si>
    <t>17-3240628</t>
  </si>
  <si>
    <t>24-2679038</t>
  </si>
  <si>
    <t>51-2167412</t>
  </si>
  <si>
    <t>76-2146784</t>
  </si>
  <si>
    <t>99-0564964</t>
  </si>
  <si>
    <t>67-7432229</t>
  </si>
  <si>
    <t>15-0224516</t>
  </si>
  <si>
    <t>92-3687989</t>
  </si>
  <si>
    <t>59-5568557</t>
  </si>
  <si>
    <t>99-5465830</t>
  </si>
  <si>
    <t>84-9385946</t>
  </si>
  <si>
    <t>82-1337530</t>
  </si>
  <si>
    <t>71-0122842</t>
  </si>
  <si>
    <t>81-5976459</t>
  </si>
  <si>
    <t>21-2965409</t>
  </si>
  <si>
    <t>75-6638402</t>
  </si>
  <si>
    <t>81-9757849</t>
  </si>
  <si>
    <t>03-3136289</t>
  </si>
  <si>
    <t>20-0021649</t>
  </si>
  <si>
    <t>32-9007470</t>
  </si>
  <si>
    <t>63-0694419</t>
  </si>
  <si>
    <t>75-7245546</t>
  </si>
  <si>
    <t>98-9112505</t>
  </si>
  <si>
    <t>78-8602908</t>
  </si>
  <si>
    <t>63-6848448</t>
  </si>
  <si>
    <t>56-7081196</t>
  </si>
  <si>
    <t>00-3338378</t>
  </si>
  <si>
    <t>05-2359767</t>
  </si>
  <si>
    <t>28-6585323</t>
  </si>
  <si>
    <t>01-6107437</t>
  </si>
  <si>
    <t>03-7559332</t>
  </si>
  <si>
    <t>58-7703341</t>
  </si>
  <si>
    <t>18-8528486</t>
  </si>
  <si>
    <t>48-3190394</t>
  </si>
  <si>
    <t>10-0386535</t>
  </si>
  <si>
    <t>14-4225824</t>
  </si>
  <si>
    <t>86-0928074</t>
  </si>
  <si>
    <t>59-9184649</t>
  </si>
  <si>
    <t>39-5658730</t>
  </si>
  <si>
    <t>75-9585763</t>
  </si>
  <si>
    <t>63-0813030</t>
  </si>
  <si>
    <t>80-8019337</t>
  </si>
  <si>
    <t>92-4106004</t>
  </si>
  <si>
    <t>47-9920494</t>
  </si>
  <si>
    <t>29-8979189</t>
  </si>
  <si>
    <t>70-7107956</t>
  </si>
  <si>
    <t>82-2972108</t>
  </si>
  <si>
    <t>54-5107115</t>
  </si>
  <si>
    <t>26-1771681</t>
  </si>
  <si>
    <t>87-0122224</t>
  </si>
  <si>
    <t>63-5897834</t>
  </si>
  <si>
    <t>46-5576111</t>
  </si>
  <si>
    <t>94-3509391</t>
  </si>
  <si>
    <t>77-6124790</t>
  </si>
  <si>
    <t>45-8314773</t>
  </si>
  <si>
    <t>50-1695443</t>
  </si>
  <si>
    <t>68-6382353</t>
  </si>
  <si>
    <t>34-8903845</t>
  </si>
  <si>
    <t>10-5899580</t>
  </si>
  <si>
    <t>41-6407014</t>
  </si>
  <si>
    <t>39-1945268</t>
  </si>
  <si>
    <t>30-6005742</t>
  </si>
  <si>
    <t>49-9010863</t>
  </si>
  <si>
    <t>58-2235320</t>
  </si>
  <si>
    <t>49-1743669</t>
  </si>
  <si>
    <t>03-6962760</t>
  </si>
  <si>
    <t>42-2477150</t>
  </si>
  <si>
    <t>82-9740062</t>
  </si>
  <si>
    <t>13-4700827</t>
  </si>
  <si>
    <t>20-9472915</t>
  </si>
  <si>
    <t>02-8721192</t>
  </si>
  <si>
    <t>76-0774122</t>
  </si>
  <si>
    <t>40-9114557</t>
  </si>
  <si>
    <t>64-8300193</t>
  </si>
  <si>
    <t>61-3294149</t>
  </si>
  <si>
    <t>85-3690127</t>
  </si>
  <si>
    <t>95-1516475</t>
  </si>
  <si>
    <t>34-7627348</t>
  </si>
  <si>
    <t>74-0191565</t>
  </si>
  <si>
    <t>35-1708827</t>
  </si>
  <si>
    <t>30-4045249</t>
  </si>
  <si>
    <t>25-1045028</t>
  </si>
  <si>
    <t>70-5224180</t>
  </si>
  <si>
    <t>57-0945292</t>
  </si>
  <si>
    <t>17-3994138</t>
  </si>
  <si>
    <t>52-3693331</t>
  </si>
  <si>
    <t>45-8966277</t>
  </si>
  <si>
    <t>55-2137809</t>
  </si>
  <si>
    <t>87-1399932</t>
  </si>
  <si>
    <t>35-0173281</t>
  </si>
  <si>
    <t>83-0606533</t>
  </si>
  <si>
    <t>76-5324325</t>
  </si>
  <si>
    <t>39-8642490</t>
  </si>
  <si>
    <t>33-4022317</t>
  </si>
  <si>
    <t>31-7667796</t>
  </si>
  <si>
    <t>19-0320558</t>
  </si>
  <si>
    <t>09-6527060</t>
  </si>
  <si>
    <t>91-6738094</t>
  </si>
  <si>
    <t>46-5580805</t>
  </si>
  <si>
    <t>09-9618844</t>
  </si>
  <si>
    <t>60-0610487</t>
  </si>
  <si>
    <t>89-7513050</t>
  </si>
  <si>
    <t>90-3993986</t>
  </si>
  <si>
    <t>98-2574776</t>
  </si>
  <si>
    <t>22-1266257</t>
  </si>
  <si>
    <t>69-1300467</t>
  </si>
  <si>
    <t>20-6735303</t>
  </si>
  <si>
    <t>91-6673445</t>
  </si>
  <si>
    <t>76-0164425</t>
  </si>
  <si>
    <t>72-1300449</t>
  </si>
  <si>
    <t>15-3943365</t>
  </si>
  <si>
    <t>44-0517932</t>
  </si>
  <si>
    <t>46-1054213</t>
  </si>
  <si>
    <t>34-5793997</t>
  </si>
  <si>
    <t>50-2002828</t>
  </si>
  <si>
    <t>20-6477396</t>
  </si>
  <si>
    <t>15-3268783</t>
  </si>
  <si>
    <t>77-9240051</t>
  </si>
  <si>
    <t>68-8279682</t>
  </si>
  <si>
    <t>36-7939842</t>
  </si>
  <si>
    <t>54-1473475</t>
  </si>
  <si>
    <t>77-1100434</t>
  </si>
  <si>
    <t>18-0945763</t>
  </si>
  <si>
    <t>19-3013452</t>
  </si>
  <si>
    <t>48-7662634</t>
  </si>
  <si>
    <t>95-4388709</t>
  </si>
  <si>
    <t>20-7636879</t>
  </si>
  <si>
    <t>58-1975365</t>
  </si>
  <si>
    <t>98-6563368</t>
  </si>
  <si>
    <t>22-0725785</t>
  </si>
  <si>
    <t>42-2765593</t>
  </si>
  <si>
    <t>24-9702599</t>
  </si>
  <si>
    <t>58-1079558</t>
  </si>
  <si>
    <t>20-3125420</t>
  </si>
  <si>
    <t>68-3583935</t>
  </si>
  <si>
    <t>43-1236055</t>
  </si>
  <si>
    <t>85-4014655</t>
  </si>
  <si>
    <t>18-7077174</t>
  </si>
  <si>
    <t>00-5823706</t>
  </si>
  <si>
    <t>42-2439801</t>
  </si>
  <si>
    <t>24-4272786</t>
  </si>
  <si>
    <t>34-0265266</t>
  </si>
  <si>
    <t>17-8884817</t>
  </si>
  <si>
    <t>49-6263811</t>
  </si>
  <si>
    <t>22-0156233</t>
  </si>
  <si>
    <t>91-7447818</t>
  </si>
  <si>
    <t>96-0180648</t>
  </si>
  <si>
    <t>13-0740797</t>
  </si>
  <si>
    <t>17-5553034</t>
  </si>
  <si>
    <t>51-0685379</t>
  </si>
  <si>
    <t>45-6860897</t>
  </si>
  <si>
    <t>38-1449694</t>
  </si>
  <si>
    <t>02-2183787</t>
  </si>
  <si>
    <t>23-8271333</t>
  </si>
  <si>
    <t>95-6935153</t>
  </si>
  <si>
    <t>58-8969119</t>
  </si>
  <si>
    <t>Littel-Blick</t>
  </si>
  <si>
    <t>90-4449856</t>
  </si>
  <si>
    <t>13-0624842</t>
  </si>
  <si>
    <t>44-6718687</t>
  </si>
  <si>
    <t>33-6126082</t>
  </si>
  <si>
    <t>59-2480731</t>
  </si>
  <si>
    <t>58-8728288</t>
  </si>
  <si>
    <t>38-5910704</t>
  </si>
  <si>
    <t>22-4332301</t>
  </si>
  <si>
    <t>78-2307905</t>
  </si>
  <si>
    <t>31-6770318</t>
  </si>
  <si>
    <t>93-2627296</t>
  </si>
  <si>
    <t>32-2114915</t>
  </si>
  <si>
    <t>22-3969127</t>
  </si>
  <si>
    <t>44-5200140</t>
  </si>
  <si>
    <t>26-9990483</t>
  </si>
  <si>
    <t>65-2343846</t>
  </si>
  <si>
    <t>92-0523700</t>
  </si>
  <si>
    <t>37-5025811</t>
  </si>
  <si>
    <t>84-7042200</t>
  </si>
  <si>
    <t>06-4416964</t>
  </si>
  <si>
    <t>25-4970452</t>
  </si>
  <si>
    <t>42-7823733</t>
  </si>
  <si>
    <t>84-4478396</t>
  </si>
  <si>
    <t>00-7031798</t>
  </si>
  <si>
    <t>53-7769693</t>
  </si>
  <si>
    <t>05-2772504</t>
  </si>
  <si>
    <t>90-2194359</t>
  </si>
  <si>
    <t>79-3154360</t>
  </si>
  <si>
    <t>37-6449638</t>
  </si>
  <si>
    <t>30-2982340</t>
  </si>
  <si>
    <t>35-9372764</t>
  </si>
  <si>
    <t>07-3201531</t>
  </si>
  <si>
    <t>77-0650807</t>
  </si>
  <si>
    <t>44-2757396</t>
  </si>
  <si>
    <t>22-7259031</t>
  </si>
  <si>
    <t>60-6986682</t>
  </si>
  <si>
    <t>XXX</t>
  </si>
  <si>
    <t>Order_value_EUR_cleaned</t>
  </si>
  <si>
    <t>avg_order_value</t>
  </si>
  <si>
    <t>Cost Cleaned</t>
  </si>
  <si>
    <t>Profit</t>
  </si>
  <si>
    <t>Profit Margin %</t>
  </si>
  <si>
    <t>Year</t>
  </si>
  <si>
    <t>Month</t>
  </si>
  <si>
    <t>August</t>
  </si>
  <si>
    <t>April</t>
  </si>
  <si>
    <t>May</t>
  </si>
  <si>
    <t>July</t>
  </si>
  <si>
    <t>September</t>
  </si>
  <si>
    <t>March</t>
  </si>
  <si>
    <t>January</t>
  </si>
  <si>
    <t>October</t>
  </si>
  <si>
    <t>June</t>
  </si>
  <si>
    <t>November</t>
  </si>
  <si>
    <t>February</t>
  </si>
  <si>
    <t>December</t>
  </si>
  <si>
    <t>Unidentified</t>
  </si>
  <si>
    <t>Total Sales</t>
  </si>
  <si>
    <t>Row Labels</t>
  </si>
  <si>
    <t>Column Labels</t>
  </si>
  <si>
    <t>2019</t>
  </si>
  <si>
    <t>2020</t>
  </si>
  <si>
    <t>Jan</t>
  </si>
  <si>
    <t>Feb</t>
  </si>
  <si>
    <t>Mar</t>
  </si>
  <si>
    <t>Apr</t>
  </si>
  <si>
    <t>Jun</t>
  </si>
  <si>
    <t>Jul</t>
  </si>
  <si>
    <t>Aug</t>
  </si>
  <si>
    <t>Sep</t>
  </si>
  <si>
    <t>Oct</t>
  </si>
  <si>
    <t>Nov</t>
  </si>
  <si>
    <t>Dec</t>
  </si>
  <si>
    <t>Total profit</t>
  </si>
  <si>
    <t>Profit Margin%</t>
  </si>
  <si>
    <t>yoy profit</t>
  </si>
  <si>
    <t>yoy sales</t>
  </si>
  <si>
    <t>yoy p m</t>
  </si>
  <si>
    <t>Orders Count</t>
  </si>
  <si>
    <t>Total Customers</t>
  </si>
  <si>
    <t xml:space="preserve">yoy orders </t>
  </si>
  <si>
    <t>yoy cust</t>
  </si>
  <si>
    <t>Country</t>
  </si>
  <si>
    <t>Sum of Profit</t>
  </si>
  <si>
    <t>Average Order Value</t>
  </si>
  <si>
    <t>MonthNumber</t>
  </si>
  <si>
    <t>Season</t>
  </si>
  <si>
    <t>Summer</t>
  </si>
  <si>
    <t>Spring</t>
  </si>
  <si>
    <t>Autumn</t>
  </si>
  <si>
    <t>Winter</t>
  </si>
  <si>
    <t>Sales rep</t>
  </si>
  <si>
    <t>Category</t>
  </si>
  <si>
    <t>Sales manger</t>
  </si>
  <si>
    <t>Device type</t>
  </si>
  <si>
    <t>Cutomer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</si>
</sst>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quot;€&quot;\ #,##0.00;&quot;€&quot;\ #,##0.00"/>
    <numFmt numFmtId="165" formatCode="0.00%;\-0.00%;0.00%"/>
    <numFmt numFmtId="166" formatCode="[Green]0.00%;[Red]\-0.00%;0.00%"/>
    <numFmt numFmtId="167" formatCode="&quot;€&quot;\ #,##0.0;\-&quot;€&quot;\ #,##0.0;&quot;€&quot;\ #,##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167" fontId="0" fillId="0" borderId="0" xfId="0" applyNumberFormat="1"/>
    <xf numFmtId="0" fontId="0" fillId="0" borderId="0" xfId="0" applyNumberFormat="1"/>
  </cellXfs>
  <cellStyles count="2">
    <cellStyle name="Normal" xfId="0" builtinId="0"/>
    <cellStyle name="Percent" xfId="1" builtinId="5"/>
  </cellStyles>
  <dxfs count="14">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B7EFCEC6-36FC-4C6C-8A01-5BBC0F30F80C}"/>
  </tableStyles>
  <colors>
    <mruColors>
      <color rgb="FFE0EE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117" Type="http://schemas.openxmlformats.org/officeDocument/2006/relationships/customXml" Target="../customXml/item63.xml"/><Relationship Id="rId21" Type="http://schemas.openxmlformats.org/officeDocument/2006/relationships/pivotCacheDefinition" Target="pivotCache/pivotCacheDefinition15.xml"/><Relationship Id="rId42" Type="http://schemas.microsoft.com/office/2007/relationships/slicerCache" Target="slicerCaches/slicerCache2.xml"/><Relationship Id="rId47" Type="http://schemas.microsoft.com/office/2007/relationships/slicerCache" Target="slicerCaches/slicerCache7.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12" Type="http://schemas.openxmlformats.org/officeDocument/2006/relationships/customXml" Target="../customXml/item58.xml"/><Relationship Id="rId16" Type="http://schemas.openxmlformats.org/officeDocument/2006/relationships/pivotCacheDefinition" Target="pivotCache/pivotCacheDefinition10.xml"/><Relationship Id="rId107" Type="http://schemas.openxmlformats.org/officeDocument/2006/relationships/customXml" Target="../customXml/item53.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microsoft.com/office/2017/10/relationships/person" Target="persons/person.xml"/><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microsoft.com/office/2007/relationships/slicerCache" Target="slicerCaches/slicerCache3.xml"/><Relationship Id="rId48" Type="http://schemas.openxmlformats.org/officeDocument/2006/relationships/theme" Target="theme/theme1.xml"/><Relationship Id="rId64" Type="http://schemas.openxmlformats.org/officeDocument/2006/relationships/customXml" Target="../customXml/item10.xml"/><Relationship Id="rId69" Type="http://schemas.openxmlformats.org/officeDocument/2006/relationships/customXml" Target="../customXml/item15.xml"/><Relationship Id="rId113" Type="http://schemas.openxmlformats.org/officeDocument/2006/relationships/customXml" Target="../customXml/item59.xml"/><Relationship Id="rId118" Type="http://schemas.openxmlformats.org/officeDocument/2006/relationships/customXml" Target="../customXml/item64.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customXml" Target="../customXml/item5.xml"/><Relationship Id="rId103" Type="http://schemas.openxmlformats.org/officeDocument/2006/relationships/customXml" Target="../customXml/item49.xml"/><Relationship Id="rId108" Type="http://schemas.openxmlformats.org/officeDocument/2006/relationships/customXml" Target="../customXml/item54.xml"/><Relationship Id="rId54" Type="http://schemas.openxmlformats.org/officeDocument/2006/relationships/calcChain" Target="calcChain.xml"/><Relationship Id="rId70" Type="http://schemas.openxmlformats.org/officeDocument/2006/relationships/customXml" Target="../customXml/item16.xml"/><Relationship Id="rId75" Type="http://schemas.openxmlformats.org/officeDocument/2006/relationships/customXml" Target="../customXml/item21.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openxmlformats.org/officeDocument/2006/relationships/connections" Target="connections.xml"/><Relationship Id="rId114" Type="http://schemas.openxmlformats.org/officeDocument/2006/relationships/customXml" Target="../customXml/item60.xml"/><Relationship Id="rId119" Type="http://schemas.openxmlformats.org/officeDocument/2006/relationships/customXml" Target="../customXml/item65.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4.xml"/><Relationship Id="rId52" Type="http://schemas.openxmlformats.org/officeDocument/2006/relationships/powerPivotData" Target="model/item.data"/><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55.xml"/><Relationship Id="rId34" Type="http://schemas.openxmlformats.org/officeDocument/2006/relationships/pivotCacheDefinition" Target="pivotCache/pivotCacheDefinition28.xml"/><Relationship Id="rId50" Type="http://schemas.openxmlformats.org/officeDocument/2006/relationships/styles" Target="style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120" Type="http://schemas.openxmlformats.org/officeDocument/2006/relationships/customXml" Target="../customXml/item66.xml"/><Relationship Id="rId7" Type="http://schemas.openxmlformats.org/officeDocument/2006/relationships/pivotCacheDefinition" Target="pivotCache/pivotCacheDefinition1.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microsoft.com/office/2007/relationships/slicerCache" Target="slicerCaches/slicerCache5.xml"/><Relationship Id="rId66" Type="http://schemas.openxmlformats.org/officeDocument/2006/relationships/customXml" Target="../customXml/item12.xml"/><Relationship Id="rId87" Type="http://schemas.openxmlformats.org/officeDocument/2006/relationships/customXml" Target="../customXml/item33.xml"/><Relationship Id="rId110" Type="http://schemas.openxmlformats.org/officeDocument/2006/relationships/customXml" Target="../customXml/item56.xml"/><Relationship Id="rId115" Type="http://schemas.openxmlformats.org/officeDocument/2006/relationships/customXml" Target="../customXml/item61.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105" Type="http://schemas.openxmlformats.org/officeDocument/2006/relationships/customXml" Target="../customXml/item51.xml"/><Relationship Id="rId8" Type="http://schemas.openxmlformats.org/officeDocument/2006/relationships/pivotCacheDefinition" Target="pivotCache/pivotCacheDefinition2.xml"/><Relationship Id="rId51" Type="http://schemas.openxmlformats.org/officeDocument/2006/relationships/sharedStrings" Target="sharedString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microsoft.com/office/2007/relationships/slicerCache" Target="slicerCaches/slicerCache6.xml"/><Relationship Id="rId67" Type="http://schemas.openxmlformats.org/officeDocument/2006/relationships/customXml" Target="../customXml/item13.xml"/><Relationship Id="rId116" Type="http://schemas.openxmlformats.org/officeDocument/2006/relationships/customXml" Target="../customXml/item62.xml"/><Relationship Id="rId20" Type="http://schemas.openxmlformats.org/officeDocument/2006/relationships/pivotCacheDefinition" Target="pivotCache/pivotCacheDefinition14.xml"/><Relationship Id="rId41" Type="http://schemas.microsoft.com/office/2007/relationships/slicerCache" Target="slicerCaches/slicerCache1.xml"/><Relationship Id="rId62" Type="http://schemas.openxmlformats.org/officeDocument/2006/relationships/customXml" Target="../customXml/item8.xml"/><Relationship Id="rId83" Type="http://schemas.openxmlformats.org/officeDocument/2006/relationships/customXml" Target="../customXml/item29.xml"/><Relationship Id="rId88" Type="http://schemas.openxmlformats.org/officeDocument/2006/relationships/customXml" Target="../customXml/item34.xml"/><Relationship Id="rId111" Type="http://schemas.openxmlformats.org/officeDocument/2006/relationships/customXml" Target="../customXml/item57.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customXml" Target="../customXml/item3.xml"/><Relationship Id="rId106" Type="http://schemas.openxmlformats.org/officeDocument/2006/relationships/customXml" Target="../customXml/item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Project.xlsx]Charts!PivotTable38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5026246719156"/>
          <c:y val="0.15175707203266259"/>
          <c:w val="0.58562751531058621"/>
          <c:h val="0.65890128317293672"/>
        </c:manualLayout>
      </c:layout>
      <c:lineChart>
        <c:grouping val="stacked"/>
        <c:varyColors val="0"/>
        <c:ser>
          <c:idx val="0"/>
          <c:order val="0"/>
          <c:tx>
            <c:strRef>
              <c:f>Charts!$C$2:$C$3</c:f>
              <c:strCache>
                <c:ptCount val="1"/>
                <c:pt idx="0">
                  <c:v>2019</c:v>
                </c:pt>
              </c:strCache>
            </c:strRef>
          </c:tx>
          <c:spPr>
            <a:ln w="28575" cap="rnd">
              <a:solidFill>
                <a:schemeClr val="accent1"/>
              </a:solidFill>
              <a:round/>
            </a:ln>
            <a:effectLst/>
          </c:spPr>
          <c:marker>
            <c:symbol val="none"/>
          </c:marker>
          <c:cat>
            <c:strRef>
              <c:f>Charts!$B$4:$B$15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Charts!$C$4:$C$15</c:f>
              <c:numCache>
                <c:formatCode>"€"\ #,##0.00;\-"€"\ #,##0.00;"€"\ #,##0.00</c:formatCode>
                <c:ptCount val="12"/>
                <c:pt idx="0">
                  <c:v>4571289.9800000004</c:v>
                </c:pt>
                <c:pt idx="1">
                  <c:v>3848144.5671000001</c:v>
                </c:pt>
                <c:pt idx="2">
                  <c:v>4021305.7800000003</c:v>
                </c:pt>
                <c:pt idx="3">
                  <c:v>4413027.9218999995</c:v>
                </c:pt>
                <c:pt idx="4">
                  <c:v>4367704.84</c:v>
                </c:pt>
                <c:pt idx="5">
                  <c:v>5612950.2104000011</c:v>
                </c:pt>
                <c:pt idx="6">
                  <c:v>4840472.8</c:v>
                </c:pt>
                <c:pt idx="7">
                  <c:v>4390216.84</c:v>
                </c:pt>
                <c:pt idx="8">
                  <c:v>6157960.7699999986</c:v>
                </c:pt>
                <c:pt idx="9">
                  <c:v>4117682.3699999992</c:v>
                </c:pt>
                <c:pt idx="10">
                  <c:v>4036842.8100000005</c:v>
                </c:pt>
                <c:pt idx="11">
                  <c:v>6204280.7400000002</c:v>
                </c:pt>
              </c:numCache>
            </c:numRef>
          </c:val>
          <c:smooth val="0"/>
          <c:extLst>
            <c:ext xmlns:c16="http://schemas.microsoft.com/office/drawing/2014/chart" uri="{C3380CC4-5D6E-409C-BE32-E72D297353CC}">
              <c16:uniqueId val="{00000000-B884-4AE4-AB08-376720BFD42A}"/>
            </c:ext>
          </c:extLst>
        </c:ser>
        <c:ser>
          <c:idx val="1"/>
          <c:order val="1"/>
          <c:tx>
            <c:strRef>
              <c:f>Charts!$D$2:$D$3</c:f>
              <c:strCache>
                <c:ptCount val="1"/>
                <c:pt idx="0">
                  <c:v>2020</c:v>
                </c:pt>
              </c:strCache>
            </c:strRef>
          </c:tx>
          <c:spPr>
            <a:ln w="28575" cap="rnd">
              <a:solidFill>
                <a:schemeClr val="accent2"/>
              </a:solidFill>
              <a:round/>
            </a:ln>
            <a:effectLst/>
          </c:spPr>
          <c:marker>
            <c:symbol val="none"/>
          </c:marker>
          <c:cat>
            <c:strRef>
              <c:f>Charts!$B$4:$B$15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Charts!$D$4:$D$15</c:f>
              <c:numCache>
                <c:formatCode>"€"\ #,##0.00;\-"€"\ #,##0.00;"€"\ #,##0.00</c:formatCode>
                <c:ptCount val="12"/>
                <c:pt idx="0">
                  <c:v>4558619.580000001</c:v>
                </c:pt>
                <c:pt idx="1">
                  <c:v>3968409.37</c:v>
                </c:pt>
                <c:pt idx="2">
                  <c:v>4123499.6399999997</c:v>
                </c:pt>
                <c:pt idx="3">
                  <c:v>5255768.6700000018</c:v>
                </c:pt>
                <c:pt idx="4">
                  <c:v>5472819.6800000006</c:v>
                </c:pt>
                <c:pt idx="5">
                  <c:v>5689890.6999999983</c:v>
                </c:pt>
                <c:pt idx="6">
                  <c:v>4653499.0680000009</c:v>
                </c:pt>
                <c:pt idx="7">
                  <c:v>4881253.290000001</c:v>
                </c:pt>
                <c:pt idx="8">
                  <c:v>4822432.59</c:v>
                </c:pt>
                <c:pt idx="9">
                  <c:v>3751915.9999999991</c:v>
                </c:pt>
                <c:pt idx="10">
                  <c:v>4408565.21</c:v>
                </c:pt>
                <c:pt idx="11">
                  <c:v>5166545.677099999</c:v>
                </c:pt>
              </c:numCache>
            </c:numRef>
          </c:val>
          <c:smooth val="0"/>
          <c:extLst>
            <c:ext xmlns:c16="http://schemas.microsoft.com/office/drawing/2014/chart" uri="{C3380CC4-5D6E-409C-BE32-E72D297353CC}">
              <c16:uniqueId val="{0000000D-4A6C-4139-9E4E-DF692E72CEA1}"/>
            </c:ext>
          </c:extLst>
        </c:ser>
        <c:dLbls>
          <c:showLegendKey val="0"/>
          <c:showVal val="0"/>
          <c:showCatName val="0"/>
          <c:showSerName val="0"/>
          <c:showPercent val="0"/>
          <c:showBubbleSize val="0"/>
        </c:dLbls>
        <c:smooth val="0"/>
        <c:axId val="2059452800"/>
        <c:axId val="2059455680"/>
      </c:lineChart>
      <c:catAx>
        <c:axId val="2059452800"/>
        <c:scaling>
          <c:orientation val="minMax"/>
        </c:scaling>
        <c:delete val="1"/>
        <c:axPos val="b"/>
        <c:numFmt formatCode="General" sourceLinked="1"/>
        <c:majorTickMark val="none"/>
        <c:minorTickMark val="none"/>
        <c:tickLblPos val="nextTo"/>
        <c:crossAx val="2059455680"/>
        <c:crosses val="autoZero"/>
        <c:auto val="1"/>
        <c:lblAlgn val="ctr"/>
        <c:lblOffset val="100"/>
        <c:noMultiLvlLbl val="0"/>
      </c:catAx>
      <c:valAx>
        <c:axId val="2059455680"/>
        <c:scaling>
          <c:orientation val="minMax"/>
        </c:scaling>
        <c:delete val="1"/>
        <c:axPos val="l"/>
        <c:numFmt formatCode="&quot;€&quot;\ #,##0.00;\-&quot;€&quot;\ #,##0.00;&quot;€&quot;\ #,##0.00" sourceLinked="1"/>
        <c:majorTickMark val="none"/>
        <c:minorTickMark val="none"/>
        <c:tickLblPos val="nextTo"/>
        <c:crossAx val="20594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Project.xlsx]Charts!PivotTable39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7224606580829757E-2"/>
          <c:w val="0.78822222222222227"/>
          <c:h val="0.84263233190271813"/>
        </c:manualLayout>
      </c:layout>
      <c:lineChart>
        <c:grouping val="stacked"/>
        <c:varyColors val="0"/>
        <c:ser>
          <c:idx val="0"/>
          <c:order val="0"/>
          <c:tx>
            <c:strRef>
              <c:f>Charts!$C$18:$C$19</c:f>
              <c:strCache>
                <c:ptCount val="1"/>
                <c:pt idx="0">
                  <c:v>2019</c:v>
                </c:pt>
              </c:strCache>
            </c:strRef>
          </c:tx>
          <c:spPr>
            <a:ln w="28575" cap="rnd">
              <a:solidFill>
                <a:schemeClr val="accent1"/>
              </a:solidFill>
              <a:round/>
            </a:ln>
            <a:effectLst/>
          </c:spPr>
          <c:marker>
            <c:symbol val="none"/>
          </c:marker>
          <c:cat>
            <c:strRef>
              <c:f>Charts!$B$20:$B$31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Charts!$C$20:$C$31</c:f>
              <c:numCache>
                <c:formatCode>General</c:formatCode>
                <c:ptCount val="12"/>
                <c:pt idx="0">
                  <c:v>45</c:v>
                </c:pt>
                <c:pt idx="1">
                  <c:v>38</c:v>
                </c:pt>
                <c:pt idx="2">
                  <c:v>46</c:v>
                </c:pt>
                <c:pt idx="3">
                  <c:v>40</c:v>
                </c:pt>
                <c:pt idx="4">
                  <c:v>38</c:v>
                </c:pt>
                <c:pt idx="5">
                  <c:v>40</c:v>
                </c:pt>
                <c:pt idx="6">
                  <c:v>34</c:v>
                </c:pt>
                <c:pt idx="7">
                  <c:v>40</c:v>
                </c:pt>
                <c:pt idx="8">
                  <c:v>55</c:v>
                </c:pt>
                <c:pt idx="9">
                  <c:v>41</c:v>
                </c:pt>
                <c:pt idx="10">
                  <c:v>38</c:v>
                </c:pt>
                <c:pt idx="11">
                  <c:v>36</c:v>
                </c:pt>
              </c:numCache>
            </c:numRef>
          </c:val>
          <c:smooth val="0"/>
          <c:extLst>
            <c:ext xmlns:c16="http://schemas.microsoft.com/office/drawing/2014/chart" uri="{C3380CC4-5D6E-409C-BE32-E72D297353CC}">
              <c16:uniqueId val="{00000000-A848-45E9-923E-54DCB3AFBECC}"/>
            </c:ext>
          </c:extLst>
        </c:ser>
        <c:ser>
          <c:idx val="1"/>
          <c:order val="1"/>
          <c:tx>
            <c:strRef>
              <c:f>Charts!$D$18:$D$19</c:f>
              <c:strCache>
                <c:ptCount val="1"/>
                <c:pt idx="0">
                  <c:v>2020</c:v>
                </c:pt>
              </c:strCache>
            </c:strRef>
          </c:tx>
          <c:spPr>
            <a:ln w="28575" cap="rnd">
              <a:solidFill>
                <a:schemeClr val="accent2"/>
              </a:solidFill>
              <a:round/>
            </a:ln>
            <a:effectLst/>
          </c:spPr>
          <c:marker>
            <c:symbol val="none"/>
          </c:marker>
          <c:cat>
            <c:strRef>
              <c:f>Charts!$B$20:$B$31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Charts!$D$20:$D$31</c:f>
              <c:numCache>
                <c:formatCode>General</c:formatCode>
                <c:ptCount val="12"/>
                <c:pt idx="0">
                  <c:v>45</c:v>
                </c:pt>
                <c:pt idx="1">
                  <c:v>39</c:v>
                </c:pt>
                <c:pt idx="2">
                  <c:v>43</c:v>
                </c:pt>
                <c:pt idx="3">
                  <c:v>42</c:v>
                </c:pt>
                <c:pt idx="4">
                  <c:v>54</c:v>
                </c:pt>
                <c:pt idx="5">
                  <c:v>42</c:v>
                </c:pt>
                <c:pt idx="6">
                  <c:v>39</c:v>
                </c:pt>
                <c:pt idx="7">
                  <c:v>45</c:v>
                </c:pt>
                <c:pt idx="8">
                  <c:v>42</c:v>
                </c:pt>
                <c:pt idx="9">
                  <c:v>38</c:v>
                </c:pt>
                <c:pt idx="10">
                  <c:v>41</c:v>
                </c:pt>
                <c:pt idx="11">
                  <c:v>40</c:v>
                </c:pt>
              </c:numCache>
            </c:numRef>
          </c:val>
          <c:smooth val="0"/>
          <c:extLst>
            <c:ext xmlns:c16="http://schemas.microsoft.com/office/drawing/2014/chart" uri="{C3380CC4-5D6E-409C-BE32-E72D297353CC}">
              <c16:uniqueId val="{0000000D-5E17-480C-B81C-1807CCEAD322}"/>
            </c:ext>
          </c:extLst>
        </c:ser>
        <c:dLbls>
          <c:showLegendKey val="0"/>
          <c:showVal val="0"/>
          <c:showCatName val="0"/>
          <c:showSerName val="0"/>
          <c:showPercent val="0"/>
          <c:showBubbleSize val="0"/>
        </c:dLbls>
        <c:smooth val="0"/>
        <c:axId val="277123471"/>
        <c:axId val="277129231"/>
      </c:lineChart>
      <c:catAx>
        <c:axId val="277123471"/>
        <c:scaling>
          <c:orientation val="minMax"/>
        </c:scaling>
        <c:delete val="1"/>
        <c:axPos val="b"/>
        <c:numFmt formatCode="General" sourceLinked="1"/>
        <c:majorTickMark val="none"/>
        <c:minorTickMark val="none"/>
        <c:tickLblPos val="nextTo"/>
        <c:crossAx val="277129231"/>
        <c:crosses val="autoZero"/>
        <c:auto val="1"/>
        <c:lblAlgn val="ctr"/>
        <c:lblOffset val="100"/>
        <c:noMultiLvlLbl val="0"/>
      </c:catAx>
      <c:valAx>
        <c:axId val="277129231"/>
        <c:scaling>
          <c:orientation val="minMax"/>
        </c:scaling>
        <c:delete val="1"/>
        <c:axPos val="l"/>
        <c:numFmt formatCode="General" sourceLinked="1"/>
        <c:majorTickMark val="none"/>
        <c:minorTickMark val="none"/>
        <c:tickLblPos val="nextTo"/>
        <c:crossAx val="27712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Charts!$C$34:$C$35</c:f>
              <c:strCache>
                <c:ptCount val="1"/>
                <c:pt idx="0">
                  <c:v>2019</c:v>
                </c:pt>
              </c:strCache>
            </c:strRef>
          </c:tx>
          <c:spPr>
            <a:ln w="28575" cap="rnd">
              <a:solidFill>
                <a:schemeClr val="accent1"/>
              </a:solidFill>
              <a:round/>
            </a:ln>
            <a:effectLst/>
          </c:spPr>
          <c:marker>
            <c:symbol val="none"/>
          </c:marker>
          <c:cat>
            <c:strRef>
              <c:f>Charts!$B$36:$B$47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Charts!$C$36:$C$47</c:f>
              <c:numCache>
                <c:formatCode>General</c:formatCode>
                <c:ptCount val="12"/>
                <c:pt idx="0">
                  <c:v>25</c:v>
                </c:pt>
                <c:pt idx="1">
                  <c:v>22</c:v>
                </c:pt>
                <c:pt idx="2">
                  <c:v>29</c:v>
                </c:pt>
                <c:pt idx="3">
                  <c:v>25</c:v>
                </c:pt>
                <c:pt idx="4">
                  <c:v>26</c:v>
                </c:pt>
                <c:pt idx="5">
                  <c:v>27</c:v>
                </c:pt>
                <c:pt idx="6">
                  <c:v>25</c:v>
                </c:pt>
                <c:pt idx="7">
                  <c:v>29</c:v>
                </c:pt>
                <c:pt idx="8">
                  <c:v>31</c:v>
                </c:pt>
                <c:pt idx="9">
                  <c:v>28</c:v>
                </c:pt>
                <c:pt idx="10">
                  <c:v>23</c:v>
                </c:pt>
                <c:pt idx="11">
                  <c:v>24</c:v>
                </c:pt>
              </c:numCache>
            </c:numRef>
          </c:val>
          <c:smooth val="0"/>
          <c:extLst>
            <c:ext xmlns:c16="http://schemas.microsoft.com/office/drawing/2014/chart" uri="{C3380CC4-5D6E-409C-BE32-E72D297353CC}">
              <c16:uniqueId val="{00000000-B294-468D-9EB7-AEE3B657B8D1}"/>
            </c:ext>
          </c:extLst>
        </c:ser>
        <c:ser>
          <c:idx val="1"/>
          <c:order val="1"/>
          <c:tx>
            <c:strRef>
              <c:f>Charts!$D$34:$D$35</c:f>
              <c:strCache>
                <c:ptCount val="1"/>
                <c:pt idx="0">
                  <c:v>2020</c:v>
                </c:pt>
              </c:strCache>
            </c:strRef>
          </c:tx>
          <c:spPr>
            <a:ln w="28575" cap="rnd">
              <a:solidFill>
                <a:schemeClr val="accent2"/>
              </a:solidFill>
              <a:round/>
            </a:ln>
            <a:effectLst/>
          </c:spPr>
          <c:marker>
            <c:symbol val="none"/>
          </c:marker>
          <c:cat>
            <c:strRef>
              <c:f>Charts!$B$36:$B$47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Charts!$D$36:$D$47</c:f>
              <c:numCache>
                <c:formatCode>General</c:formatCode>
                <c:ptCount val="12"/>
                <c:pt idx="0">
                  <c:v>33</c:v>
                </c:pt>
                <c:pt idx="1">
                  <c:v>25</c:v>
                </c:pt>
                <c:pt idx="2">
                  <c:v>31</c:v>
                </c:pt>
                <c:pt idx="3">
                  <c:v>30</c:v>
                </c:pt>
                <c:pt idx="4">
                  <c:v>33</c:v>
                </c:pt>
                <c:pt idx="5">
                  <c:v>29</c:v>
                </c:pt>
                <c:pt idx="6">
                  <c:v>26</c:v>
                </c:pt>
                <c:pt idx="7">
                  <c:v>32</c:v>
                </c:pt>
                <c:pt idx="8">
                  <c:v>27</c:v>
                </c:pt>
                <c:pt idx="9">
                  <c:v>28</c:v>
                </c:pt>
                <c:pt idx="10">
                  <c:v>25</c:v>
                </c:pt>
                <c:pt idx="11">
                  <c:v>25</c:v>
                </c:pt>
              </c:numCache>
            </c:numRef>
          </c:val>
          <c:smooth val="0"/>
          <c:extLst>
            <c:ext xmlns:c16="http://schemas.microsoft.com/office/drawing/2014/chart" uri="{C3380CC4-5D6E-409C-BE32-E72D297353CC}">
              <c16:uniqueId val="{0000000D-8DCB-4271-8731-2108F89733EF}"/>
            </c:ext>
          </c:extLst>
        </c:ser>
        <c:dLbls>
          <c:showLegendKey val="0"/>
          <c:showVal val="0"/>
          <c:showCatName val="0"/>
          <c:showSerName val="0"/>
          <c:showPercent val="0"/>
          <c:showBubbleSize val="0"/>
        </c:dLbls>
        <c:smooth val="0"/>
        <c:axId val="392666911"/>
        <c:axId val="392684191"/>
      </c:lineChart>
      <c:catAx>
        <c:axId val="392666911"/>
        <c:scaling>
          <c:orientation val="minMax"/>
        </c:scaling>
        <c:delete val="1"/>
        <c:axPos val="b"/>
        <c:numFmt formatCode="General" sourceLinked="1"/>
        <c:majorTickMark val="none"/>
        <c:minorTickMark val="none"/>
        <c:tickLblPos val="nextTo"/>
        <c:crossAx val="392684191"/>
        <c:crosses val="autoZero"/>
        <c:auto val="1"/>
        <c:lblAlgn val="ctr"/>
        <c:lblOffset val="100"/>
        <c:noMultiLvlLbl val="0"/>
      </c:catAx>
      <c:valAx>
        <c:axId val="392684191"/>
        <c:scaling>
          <c:orientation val="minMax"/>
        </c:scaling>
        <c:delete val="1"/>
        <c:axPos val="l"/>
        <c:numFmt formatCode="General" sourceLinked="1"/>
        <c:majorTickMark val="none"/>
        <c:minorTickMark val="none"/>
        <c:tickLblPos val="nextTo"/>
        <c:crossAx val="3926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Charts!$C$50:$C$51</c:f>
              <c:strCache>
                <c:ptCount val="1"/>
                <c:pt idx="0">
                  <c:v>2019</c:v>
                </c:pt>
              </c:strCache>
            </c:strRef>
          </c:tx>
          <c:spPr>
            <a:ln w="28575" cap="rnd">
              <a:solidFill>
                <a:schemeClr val="accent1"/>
              </a:solidFill>
              <a:round/>
            </a:ln>
            <a:effectLst/>
          </c:spPr>
          <c:marker>
            <c:symbol val="none"/>
          </c:marker>
          <c:cat>
            <c:strRef>
              <c:f>Charts!$B$52:$B$63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Charts!$C$52:$C$63</c:f>
              <c:numCache>
                <c:formatCode>"€"\ #,##0.00;\-"€"\ #,##0.00;"€"\ #,##0.00</c:formatCode>
                <c:ptCount val="12"/>
                <c:pt idx="0">
                  <c:v>765657.30999999959</c:v>
                </c:pt>
                <c:pt idx="1">
                  <c:v>686173.87710000016</c:v>
                </c:pt>
                <c:pt idx="2">
                  <c:v>683666.98</c:v>
                </c:pt>
                <c:pt idx="3">
                  <c:v>696930.05189999845</c:v>
                </c:pt>
                <c:pt idx="4">
                  <c:v>761862.77</c:v>
                </c:pt>
                <c:pt idx="5">
                  <c:v>877540.57040000055</c:v>
                </c:pt>
                <c:pt idx="6">
                  <c:v>798487.89999999804</c:v>
                </c:pt>
                <c:pt idx="7">
                  <c:v>739654.40999999922</c:v>
                </c:pt>
                <c:pt idx="8">
                  <c:v>965758.9599999981</c:v>
                </c:pt>
                <c:pt idx="9">
                  <c:v>687589.53999999957</c:v>
                </c:pt>
                <c:pt idx="10">
                  <c:v>585902.56110000098</c:v>
                </c:pt>
                <c:pt idx="11">
                  <c:v>1101654.58</c:v>
                </c:pt>
              </c:numCache>
            </c:numRef>
          </c:val>
          <c:smooth val="0"/>
          <c:extLst>
            <c:ext xmlns:c16="http://schemas.microsoft.com/office/drawing/2014/chart" uri="{C3380CC4-5D6E-409C-BE32-E72D297353CC}">
              <c16:uniqueId val="{00000000-E2EE-4076-AE0C-BC3A02657636}"/>
            </c:ext>
          </c:extLst>
        </c:ser>
        <c:ser>
          <c:idx val="1"/>
          <c:order val="1"/>
          <c:tx>
            <c:strRef>
              <c:f>Charts!$D$50:$D$51</c:f>
              <c:strCache>
                <c:ptCount val="1"/>
                <c:pt idx="0">
                  <c:v>2020</c:v>
                </c:pt>
              </c:strCache>
            </c:strRef>
          </c:tx>
          <c:spPr>
            <a:ln w="28575" cap="rnd">
              <a:solidFill>
                <a:schemeClr val="accent2"/>
              </a:solidFill>
              <a:round/>
            </a:ln>
            <a:effectLst/>
          </c:spPr>
          <c:marker>
            <c:symbol val="none"/>
          </c:marker>
          <c:cat>
            <c:strRef>
              <c:f>Charts!$B$52:$B$63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Charts!$D$52:$D$63</c:f>
              <c:numCache>
                <c:formatCode>"€"\ #,##0.00;\-"€"\ #,##0.00;"€"\ #,##0.00</c:formatCode>
                <c:ptCount val="12"/>
                <c:pt idx="0">
                  <c:v>808444.22000000067</c:v>
                </c:pt>
                <c:pt idx="1">
                  <c:v>637509.71000000043</c:v>
                </c:pt>
                <c:pt idx="2">
                  <c:v>674357.22999999905</c:v>
                </c:pt>
                <c:pt idx="3">
                  <c:v>898614.06000000145</c:v>
                </c:pt>
                <c:pt idx="4">
                  <c:v>905353.12999999989</c:v>
                </c:pt>
                <c:pt idx="5">
                  <c:v>955440.99999999721</c:v>
                </c:pt>
                <c:pt idx="6">
                  <c:v>861529.62800000096</c:v>
                </c:pt>
                <c:pt idx="7">
                  <c:v>807172.71000000043</c:v>
                </c:pt>
                <c:pt idx="8">
                  <c:v>829285.73</c:v>
                </c:pt>
                <c:pt idx="9">
                  <c:v>655510.78999999957</c:v>
                </c:pt>
                <c:pt idx="10">
                  <c:v>738544.74999999953</c:v>
                </c:pt>
                <c:pt idx="11">
                  <c:v>742392.03709999938</c:v>
                </c:pt>
              </c:numCache>
            </c:numRef>
          </c:val>
          <c:smooth val="0"/>
          <c:extLst>
            <c:ext xmlns:c16="http://schemas.microsoft.com/office/drawing/2014/chart" uri="{C3380CC4-5D6E-409C-BE32-E72D297353CC}">
              <c16:uniqueId val="{0000000D-94DD-4897-95A0-278CD1936A56}"/>
            </c:ext>
          </c:extLst>
        </c:ser>
        <c:dLbls>
          <c:showLegendKey val="0"/>
          <c:showVal val="0"/>
          <c:showCatName val="0"/>
          <c:showSerName val="0"/>
          <c:showPercent val="0"/>
          <c:showBubbleSize val="0"/>
        </c:dLbls>
        <c:smooth val="0"/>
        <c:axId val="392667871"/>
        <c:axId val="392671231"/>
      </c:lineChart>
      <c:catAx>
        <c:axId val="392667871"/>
        <c:scaling>
          <c:orientation val="minMax"/>
        </c:scaling>
        <c:delete val="1"/>
        <c:axPos val="b"/>
        <c:numFmt formatCode="General" sourceLinked="1"/>
        <c:majorTickMark val="none"/>
        <c:minorTickMark val="none"/>
        <c:tickLblPos val="nextTo"/>
        <c:crossAx val="392671231"/>
        <c:crosses val="autoZero"/>
        <c:auto val="1"/>
        <c:lblAlgn val="ctr"/>
        <c:lblOffset val="100"/>
        <c:noMultiLvlLbl val="0"/>
      </c:catAx>
      <c:valAx>
        <c:axId val="392671231"/>
        <c:scaling>
          <c:orientation val="minMax"/>
        </c:scaling>
        <c:delete val="1"/>
        <c:axPos val="l"/>
        <c:numFmt formatCode="&quot;€&quot;\ #,##0.00;\-&quot;€&quot;\ #,##0.00;&quot;€&quot;\ #,##0.00" sourceLinked="1"/>
        <c:majorTickMark val="none"/>
        <c:minorTickMark val="none"/>
        <c:tickLblPos val="nextTo"/>
        <c:crossAx val="3926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Charts!$R$4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3F-422F-91D4-7002139F80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3F-422F-91D4-7002139F80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3F-422F-91D4-7002139F80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3F-422F-91D4-7002139F80C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Charts!$Q$5:$Q$8</c:f>
              <c:strCache>
                <c:ptCount val="4"/>
                <c:pt idx="0">
                  <c:v>Autumn</c:v>
                </c:pt>
                <c:pt idx="1">
                  <c:v>Spring</c:v>
                </c:pt>
                <c:pt idx="2">
                  <c:v>Summer</c:v>
                </c:pt>
                <c:pt idx="3">
                  <c:v>Winter</c:v>
                </c:pt>
              </c:strCache>
            </c:strRef>
          </c:cat>
          <c:val>
            <c:numRef>
              <c:f>Charts!$R$5:$R$8</c:f>
              <c:numCache>
                <c:formatCode>"€"\ #,##0.00;\-"€"\ #,##0.00;"€"\ #,##0.00</c:formatCode>
                <c:ptCount val="4"/>
                <c:pt idx="0">
                  <c:v>27295399.749999996</c:v>
                </c:pt>
                <c:pt idx="1">
                  <c:v>27654126.531899996</c:v>
                </c:pt>
                <c:pt idx="2">
                  <c:v>30068282.908400025</c:v>
                </c:pt>
                <c:pt idx="3">
                  <c:v>28317289.914200004</c:v>
                </c:pt>
              </c:numCache>
            </c:numRef>
          </c:val>
          <c:extLst>
            <c:ext xmlns:c16="http://schemas.microsoft.com/office/drawing/2014/chart" uri="{C3380CC4-5D6E-409C-BE32-E72D297353CC}">
              <c16:uniqueId val="{00000000-7D87-46C0-B95B-3FAB83125A2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col"/>
        <c:grouping val="clustered"/>
        <c:varyColors val="0"/>
        <c:ser>
          <c:idx val="0"/>
          <c:order val="0"/>
          <c:tx>
            <c:strRef>
              <c:f>Charts!$R$21</c:f>
              <c:strCache>
                <c:ptCount val="1"/>
                <c:pt idx="0">
                  <c:v>Total</c:v>
                </c:pt>
              </c:strCache>
            </c:strRef>
          </c:tx>
          <c:spPr>
            <a:solidFill>
              <a:schemeClr val="accent1"/>
            </a:solidFill>
            <a:ln>
              <a:noFill/>
            </a:ln>
            <a:effectLst/>
          </c:spPr>
          <c:invertIfNegative val="0"/>
          <c:cat>
            <c:strRef>
              <c:f>Charts!$Q$22:$Q$36</c:f>
              <c:strCache>
                <c:ptCount val="15"/>
                <c:pt idx="0">
                  <c:v>Portugal</c:v>
                </c:pt>
                <c:pt idx="1">
                  <c:v>France</c:v>
                </c:pt>
                <c:pt idx="2">
                  <c:v>Sweden</c:v>
                </c:pt>
                <c:pt idx="3">
                  <c:v>UK</c:v>
                </c:pt>
                <c:pt idx="4">
                  <c:v>Finland</c:v>
                </c:pt>
                <c:pt idx="5">
                  <c:v>Ireland</c:v>
                </c:pt>
                <c:pt idx="6">
                  <c:v>Bulgaria</c:v>
                </c:pt>
                <c:pt idx="7">
                  <c:v>Netherlands</c:v>
                </c:pt>
                <c:pt idx="8">
                  <c:v>Luxembourg</c:v>
                </c:pt>
                <c:pt idx="9">
                  <c:v>Germany</c:v>
                </c:pt>
                <c:pt idx="10">
                  <c:v>Spain</c:v>
                </c:pt>
                <c:pt idx="11">
                  <c:v>Italy</c:v>
                </c:pt>
                <c:pt idx="12">
                  <c:v>Denmark</c:v>
                </c:pt>
                <c:pt idx="13">
                  <c:v>Belgium</c:v>
                </c:pt>
                <c:pt idx="14">
                  <c:v>Austria</c:v>
                </c:pt>
              </c:strCache>
            </c:strRef>
          </c:cat>
          <c:val>
            <c:numRef>
              <c:f>Charts!$R$22:$R$36</c:f>
              <c:numCache>
                <c:formatCode>"€"\ #,##0.00;\-"€"\ #,##0.00;"€"\ #,##0.00</c:formatCode>
                <c:ptCount val="15"/>
                <c:pt idx="0">
                  <c:v>27796361.829999994</c:v>
                </c:pt>
                <c:pt idx="1">
                  <c:v>25900678.420000006</c:v>
                </c:pt>
                <c:pt idx="2">
                  <c:v>19589451.761900004</c:v>
                </c:pt>
                <c:pt idx="3">
                  <c:v>12236276.287099997</c:v>
                </c:pt>
                <c:pt idx="4">
                  <c:v>5429839.7770999996</c:v>
                </c:pt>
                <c:pt idx="5">
                  <c:v>4952284.709999999</c:v>
                </c:pt>
                <c:pt idx="6">
                  <c:v>3482144.6399999987</c:v>
                </c:pt>
                <c:pt idx="7">
                  <c:v>3351865.2279999997</c:v>
                </c:pt>
                <c:pt idx="8">
                  <c:v>2913550.4</c:v>
                </c:pt>
                <c:pt idx="9">
                  <c:v>2794048.5300000003</c:v>
                </c:pt>
                <c:pt idx="10">
                  <c:v>2390688.4003999997</c:v>
                </c:pt>
                <c:pt idx="11">
                  <c:v>935569.3</c:v>
                </c:pt>
                <c:pt idx="12">
                  <c:v>763203.51</c:v>
                </c:pt>
                <c:pt idx="13">
                  <c:v>608969.96</c:v>
                </c:pt>
                <c:pt idx="14">
                  <c:v>190166.35</c:v>
                </c:pt>
              </c:numCache>
            </c:numRef>
          </c:val>
          <c:extLst>
            <c:ext xmlns:c16="http://schemas.microsoft.com/office/drawing/2014/chart" uri="{C3380CC4-5D6E-409C-BE32-E72D297353CC}">
              <c16:uniqueId val="{00000000-8999-409F-BC01-8A1B75F6A481}"/>
            </c:ext>
          </c:extLst>
        </c:ser>
        <c:dLbls>
          <c:showLegendKey val="0"/>
          <c:showVal val="0"/>
          <c:showCatName val="0"/>
          <c:showSerName val="0"/>
          <c:showPercent val="0"/>
          <c:showBubbleSize val="0"/>
        </c:dLbls>
        <c:gapWidth val="219"/>
        <c:overlap val="-27"/>
        <c:axId val="497591855"/>
        <c:axId val="497602415"/>
      </c:barChart>
      <c:catAx>
        <c:axId val="49759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602415"/>
        <c:crosses val="autoZero"/>
        <c:auto val="1"/>
        <c:lblAlgn val="ctr"/>
        <c:lblOffset val="100"/>
        <c:noMultiLvlLbl val="0"/>
      </c:catAx>
      <c:valAx>
        <c:axId val="497602415"/>
        <c:scaling>
          <c:orientation val="minMax"/>
        </c:scaling>
        <c:delete val="0"/>
        <c:axPos val="l"/>
        <c:numFmt formatCode="&quot;€&quot;\ #,##0.00;\-&quot;€&quot;\ #,##0.00;&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529990092958"/>
          <c:y val="0.17042498508967763"/>
          <c:w val="0.89964700099070416"/>
          <c:h val="0.77290835320136897"/>
        </c:manualLayout>
      </c:layout>
      <c:barChart>
        <c:barDir val="bar"/>
        <c:grouping val="clustered"/>
        <c:varyColors val="0"/>
        <c:ser>
          <c:idx val="0"/>
          <c:order val="0"/>
          <c:tx>
            <c:strRef>
              <c:f>Charts!$T$72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Charts!$S$73:$S$87</c:f>
              <c:strCache>
                <c:ptCount val="15"/>
                <c:pt idx="0">
                  <c:v>Luxembourg</c:v>
                </c:pt>
                <c:pt idx="1">
                  <c:v>Finland</c:v>
                </c:pt>
                <c:pt idx="2">
                  <c:v>UK</c:v>
                </c:pt>
                <c:pt idx="3">
                  <c:v>Netherlands</c:v>
                </c:pt>
                <c:pt idx="4">
                  <c:v>Germany</c:v>
                </c:pt>
                <c:pt idx="5">
                  <c:v>Portugal</c:v>
                </c:pt>
                <c:pt idx="6">
                  <c:v>Bulgaria</c:v>
                </c:pt>
                <c:pt idx="7">
                  <c:v>Ireland</c:v>
                </c:pt>
                <c:pt idx="8">
                  <c:v>France</c:v>
                </c:pt>
                <c:pt idx="9">
                  <c:v>Sweden</c:v>
                </c:pt>
                <c:pt idx="10">
                  <c:v>Belgium</c:v>
                </c:pt>
                <c:pt idx="11">
                  <c:v>Austria</c:v>
                </c:pt>
                <c:pt idx="12">
                  <c:v>Italy</c:v>
                </c:pt>
                <c:pt idx="13">
                  <c:v>Spain</c:v>
                </c:pt>
                <c:pt idx="14">
                  <c:v>Denmark</c:v>
                </c:pt>
              </c:strCache>
            </c:strRef>
          </c:cat>
          <c:val>
            <c:numRef>
              <c:f>Charts!$T$73:$T$87</c:f>
              <c:numCache>
                <c:formatCode>"€"\ #,##0.0;\-"€"\ #,##0.0;"€"\ #,##0.0</c:formatCode>
                <c:ptCount val="15"/>
                <c:pt idx="0">
                  <c:v>132434.1090909091</c:v>
                </c:pt>
                <c:pt idx="1">
                  <c:v>123405.44947954545</c:v>
                </c:pt>
                <c:pt idx="2">
                  <c:v>119963.49301078428</c:v>
                </c:pt>
                <c:pt idx="3">
                  <c:v>119709.47242857142</c:v>
                </c:pt>
                <c:pt idx="4">
                  <c:v>116418.68875000002</c:v>
                </c:pt>
                <c:pt idx="5">
                  <c:v>116302.7691631799</c:v>
                </c:pt>
                <c:pt idx="6">
                  <c:v>116071.48799999995</c:v>
                </c:pt>
                <c:pt idx="7">
                  <c:v>115169.41186046509</c:v>
                </c:pt>
                <c:pt idx="8">
                  <c:v>111640.85525862071</c:v>
                </c:pt>
                <c:pt idx="9">
                  <c:v>107634.35034010992</c:v>
                </c:pt>
                <c:pt idx="10">
                  <c:v>101494.99333333333</c:v>
                </c:pt>
                <c:pt idx="11">
                  <c:v>95083.175000000003</c:v>
                </c:pt>
                <c:pt idx="12">
                  <c:v>93556.930000000008</c:v>
                </c:pt>
                <c:pt idx="13">
                  <c:v>91949.553861538443</c:v>
                </c:pt>
                <c:pt idx="14">
                  <c:v>69382.137272727268</c:v>
                </c:pt>
              </c:numCache>
            </c:numRef>
          </c:val>
          <c:extLst>
            <c:ext xmlns:c16="http://schemas.microsoft.com/office/drawing/2014/chart" uri="{C3380CC4-5D6E-409C-BE32-E72D297353CC}">
              <c16:uniqueId val="{00000000-13E3-4714-8E98-52853AA9D040}"/>
            </c:ext>
          </c:extLst>
        </c:ser>
        <c:dLbls>
          <c:dLblPos val="outEnd"/>
          <c:showLegendKey val="0"/>
          <c:showVal val="1"/>
          <c:showCatName val="0"/>
          <c:showSerName val="0"/>
          <c:showPercent val="0"/>
          <c:showBubbleSize val="0"/>
        </c:dLbls>
        <c:gapWidth val="182"/>
        <c:axId val="275618447"/>
        <c:axId val="275607887"/>
      </c:barChart>
      <c:catAx>
        <c:axId val="275618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7887"/>
        <c:crosses val="autoZero"/>
        <c:auto val="1"/>
        <c:lblAlgn val="ctr"/>
        <c:lblOffset val="100"/>
        <c:noMultiLvlLbl val="0"/>
      </c:catAx>
      <c:valAx>
        <c:axId val="275607887"/>
        <c:scaling>
          <c:orientation val="minMax"/>
        </c:scaling>
        <c:delete val="1"/>
        <c:axPos val="b"/>
        <c:numFmt formatCode="&quot;€&quot;\ #,##0.0;\-&quot;€&quot;\ #,##0.0;&quot;€&quot;\ #,##0.0" sourceLinked="1"/>
        <c:majorTickMark val="none"/>
        <c:minorTickMark val="none"/>
        <c:tickLblPos val="nextTo"/>
        <c:crossAx val="27561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Charts!$N$77</c:f>
              <c:strCache>
                <c:ptCount val="1"/>
                <c:pt idx="0">
                  <c:v>Total</c:v>
                </c:pt>
              </c:strCache>
            </c:strRef>
          </c:tx>
          <c:spPr>
            <a:solidFill>
              <a:schemeClr val="accent1"/>
            </a:solidFill>
            <a:ln>
              <a:noFill/>
            </a:ln>
            <a:effectLst/>
          </c:spPr>
          <c:invertIfNegative val="0"/>
          <c:cat>
            <c:strRef>
              <c:f>Charts!$M$78:$M$87</c:f>
              <c:strCache>
                <c:ptCount val="10"/>
                <c:pt idx="0">
                  <c:v>Clothing</c:v>
                </c:pt>
                <c:pt idx="1">
                  <c:v>Games</c:v>
                </c:pt>
                <c:pt idx="2">
                  <c:v>Electronics</c:v>
                </c:pt>
                <c:pt idx="3">
                  <c:v>Appliances</c:v>
                </c:pt>
                <c:pt idx="4">
                  <c:v>Books</c:v>
                </c:pt>
                <c:pt idx="5">
                  <c:v>Beauty</c:v>
                </c:pt>
                <c:pt idx="6">
                  <c:v>Smartphones</c:v>
                </c:pt>
                <c:pt idx="7">
                  <c:v>Outdoors</c:v>
                </c:pt>
                <c:pt idx="8">
                  <c:v>Accessories</c:v>
                </c:pt>
                <c:pt idx="9">
                  <c:v>Other</c:v>
                </c:pt>
              </c:strCache>
            </c:strRef>
          </c:cat>
          <c:val>
            <c:numRef>
              <c:f>Charts!$N$78:$N$87</c:f>
              <c:numCache>
                <c:formatCode>"€"\ #,##0.00;\-"€"\ #,##0.00;"€"\ #,##0.00</c:formatCode>
                <c:ptCount val="10"/>
                <c:pt idx="0">
                  <c:v>2950943.2550999876</c:v>
                </c:pt>
                <c:pt idx="1">
                  <c:v>2523021.2010999862</c:v>
                </c:pt>
                <c:pt idx="2">
                  <c:v>2401133</c:v>
                </c:pt>
                <c:pt idx="3">
                  <c:v>2378575.5223000087</c:v>
                </c:pt>
                <c:pt idx="4">
                  <c:v>2225913.8800000027</c:v>
                </c:pt>
                <c:pt idx="5">
                  <c:v>2118427.4299999978</c:v>
                </c:pt>
                <c:pt idx="6">
                  <c:v>1877327.6671000011</c:v>
                </c:pt>
                <c:pt idx="7">
                  <c:v>1056762.5099999988</c:v>
                </c:pt>
                <c:pt idx="8">
                  <c:v>783896.33000000054</c:v>
                </c:pt>
                <c:pt idx="9">
                  <c:v>549033.71</c:v>
                </c:pt>
              </c:numCache>
            </c:numRef>
          </c:val>
          <c:extLst>
            <c:ext xmlns:c16="http://schemas.microsoft.com/office/drawing/2014/chart" uri="{C3380CC4-5D6E-409C-BE32-E72D297353CC}">
              <c16:uniqueId val="{00000000-B326-46EB-B683-EBE2C9806AFB}"/>
            </c:ext>
          </c:extLst>
        </c:ser>
        <c:dLbls>
          <c:showLegendKey val="0"/>
          <c:showVal val="0"/>
          <c:showCatName val="0"/>
          <c:showSerName val="0"/>
          <c:showPercent val="0"/>
          <c:showBubbleSize val="0"/>
        </c:dLbls>
        <c:gapWidth val="219"/>
        <c:overlap val="-27"/>
        <c:axId val="574079231"/>
        <c:axId val="574066751"/>
      </c:barChart>
      <c:catAx>
        <c:axId val="57407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66751"/>
        <c:crosses val="autoZero"/>
        <c:auto val="1"/>
        <c:lblAlgn val="ctr"/>
        <c:lblOffset val="100"/>
        <c:noMultiLvlLbl val="0"/>
      </c:catAx>
      <c:valAx>
        <c:axId val="574066751"/>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7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Charts!$Q$101:$Q$110</c:f>
              <c:strCache>
                <c:ptCount val="10"/>
                <c:pt idx="0">
                  <c:v>Outdoors</c:v>
                </c:pt>
                <c:pt idx="1">
                  <c:v>Books</c:v>
                </c:pt>
                <c:pt idx="2">
                  <c:v>Beauty</c:v>
                </c:pt>
                <c:pt idx="3">
                  <c:v>Other</c:v>
                </c:pt>
                <c:pt idx="4">
                  <c:v>Smartphones</c:v>
                </c:pt>
                <c:pt idx="5">
                  <c:v>Clothing</c:v>
                </c:pt>
                <c:pt idx="6">
                  <c:v>Accessories</c:v>
                </c:pt>
                <c:pt idx="7">
                  <c:v>Electronics</c:v>
                </c:pt>
                <c:pt idx="8">
                  <c:v>Games</c:v>
                </c:pt>
                <c:pt idx="9">
                  <c:v>Appliances</c:v>
                </c:pt>
              </c:strCache>
            </c:strRef>
          </c:cat>
          <c:val>
            <c:numRef>
              <c:f>Charts!$R$101:$R$110</c:f>
              <c:numCache>
                <c:formatCode>0.00%;\-0.00%;0.00%</c:formatCode>
                <c:ptCount val="10"/>
                <c:pt idx="0">
                  <c:v>0.17793384183717306</c:v>
                </c:pt>
                <c:pt idx="1">
                  <c:v>0.16888599723023856</c:v>
                </c:pt>
                <c:pt idx="2">
                  <c:v>0.16854297585127706</c:v>
                </c:pt>
                <c:pt idx="3">
                  <c:v>0.16826127391645779</c:v>
                </c:pt>
                <c:pt idx="4">
                  <c:v>0.16824443101130876</c:v>
                </c:pt>
                <c:pt idx="5">
                  <c:v>0.16699651834811613</c:v>
                </c:pt>
                <c:pt idx="6">
                  <c:v>0.1666470830448247</c:v>
                </c:pt>
                <c:pt idx="7">
                  <c:v>0.1658003128421294</c:v>
                </c:pt>
                <c:pt idx="8">
                  <c:v>0.16398585643557645</c:v>
                </c:pt>
                <c:pt idx="9">
                  <c:v>0.15874775367363642</c:v>
                </c:pt>
              </c:numCache>
            </c:numRef>
          </c:val>
          <c:extLst>
            <c:ext xmlns:c16="http://schemas.microsoft.com/office/drawing/2014/chart" uri="{C3380CC4-5D6E-409C-BE32-E72D297353CC}">
              <c16:uniqueId val="{00000000-E61F-4A76-9006-08692A7C83B2}"/>
            </c:ext>
          </c:extLst>
        </c:ser>
        <c:dLbls>
          <c:dLblPos val="outEnd"/>
          <c:showLegendKey val="0"/>
          <c:showVal val="1"/>
          <c:showCatName val="0"/>
          <c:showSerName val="0"/>
          <c:showPercent val="0"/>
          <c:showBubbleSize val="0"/>
        </c:dLbls>
        <c:gapWidth val="182"/>
        <c:axId val="275611727"/>
        <c:axId val="275610287"/>
      </c:barChart>
      <c:catAx>
        <c:axId val="27561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10287"/>
        <c:crosses val="autoZero"/>
        <c:auto val="1"/>
        <c:lblAlgn val="ctr"/>
        <c:lblOffset val="100"/>
        <c:noMultiLvlLbl val="0"/>
      </c:catAx>
      <c:valAx>
        <c:axId val="275610287"/>
        <c:scaling>
          <c:orientation val="minMax"/>
        </c:scaling>
        <c:delete val="1"/>
        <c:axPos val="b"/>
        <c:numFmt formatCode="0.00%;\-0.00%;0.00%" sourceLinked="1"/>
        <c:majorTickMark val="none"/>
        <c:minorTickMark val="none"/>
        <c:tickLblPos val="nextTo"/>
        <c:crossAx val="27561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device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5861767279090114E-2"/>
              <c:y val="-0.11310403907844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Charts!$R$128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5C1-4E32-92E8-69A397ED81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0A-47FA-86CF-1DE3B403E3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0A-47FA-86CF-1DE3B403E3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0A-47FA-86CF-1DE3B403E321}"/>
              </c:ext>
            </c:extLst>
          </c:dPt>
          <c:dLbls>
            <c:dLbl>
              <c:idx val="0"/>
              <c:layout>
                <c:manualLayout>
                  <c:x val="6.5861767279090114E-2"/>
                  <c:y val="-0.1131040390784484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C1-4E32-92E8-69A397ED81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Charts!$Q$129:$Q$132</c:f>
              <c:strCache>
                <c:ptCount val="4"/>
                <c:pt idx="0">
                  <c:v>PC</c:v>
                </c:pt>
                <c:pt idx="1">
                  <c:v>Mobile</c:v>
                </c:pt>
                <c:pt idx="2">
                  <c:v>Tablet</c:v>
                </c:pt>
                <c:pt idx="3">
                  <c:v>Unidentified</c:v>
                </c:pt>
              </c:strCache>
            </c:strRef>
          </c:cat>
          <c:val>
            <c:numRef>
              <c:f>Charts!$R$129:$R$132</c:f>
              <c:numCache>
                <c:formatCode>"€"\ #,##0.00;\-"€"\ #,##0.00;"€"\ #,##0.00</c:formatCode>
                <c:ptCount val="4"/>
                <c:pt idx="0">
                  <c:v>15022309.365199924</c:v>
                </c:pt>
                <c:pt idx="1">
                  <c:v>2444163.2004000023</c:v>
                </c:pt>
                <c:pt idx="2">
                  <c:v>1351415.1499999985</c:v>
                </c:pt>
                <c:pt idx="3">
                  <c:v>47146.789999999979</c:v>
                </c:pt>
              </c:numCache>
            </c:numRef>
          </c:val>
          <c:extLst>
            <c:ext xmlns:c16="http://schemas.microsoft.com/office/drawing/2014/chart" uri="{C3380CC4-5D6E-409C-BE32-E72D297353CC}">
              <c16:uniqueId val="{00000000-65C1-4E32-92E8-69A397ED81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 manger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Charts!$R$148</c:f>
              <c:strCache>
                <c:ptCount val="1"/>
                <c:pt idx="0">
                  <c:v>Total</c:v>
                </c:pt>
              </c:strCache>
            </c:strRef>
          </c:tx>
          <c:spPr>
            <a:solidFill>
              <a:schemeClr val="accent1"/>
            </a:solidFill>
            <a:ln>
              <a:noFill/>
            </a:ln>
            <a:effectLst/>
          </c:spPr>
          <c:invertIfNegative val="0"/>
          <c:cat>
            <c:strRef>
              <c:f>Charts!$Q$149:$Q$163</c:f>
              <c:strCache>
                <c:ptCount val="15"/>
                <c:pt idx="0">
                  <c:v>Denice Amberg</c:v>
                </c:pt>
                <c:pt idx="1">
                  <c:v>Celine Tumasian</c:v>
                </c:pt>
                <c:pt idx="2">
                  <c:v>Glenine Suttaby</c:v>
                </c:pt>
                <c:pt idx="3">
                  <c:v>Hube Corey</c:v>
                </c:pt>
                <c:pt idx="4">
                  <c:v>Jessamine Apark</c:v>
                </c:pt>
                <c:pt idx="5">
                  <c:v>Maxie Marrow</c:v>
                </c:pt>
                <c:pt idx="6">
                  <c:v>Othello Bowes</c:v>
                </c:pt>
                <c:pt idx="7">
                  <c:v>Rickard Doogood</c:v>
                </c:pt>
                <c:pt idx="8">
                  <c:v>Charil Alpe</c:v>
                </c:pt>
                <c:pt idx="9">
                  <c:v>Emalia Dinse</c:v>
                </c:pt>
                <c:pt idx="10">
                  <c:v>Modestia Byfford</c:v>
                </c:pt>
                <c:pt idx="11">
                  <c:v>Ilsa Kob</c:v>
                </c:pt>
                <c:pt idx="12">
                  <c:v>Lambert Norheny</c:v>
                </c:pt>
                <c:pt idx="13">
                  <c:v>Orsa Geekin</c:v>
                </c:pt>
                <c:pt idx="14">
                  <c:v>Piggy Roscrigg</c:v>
                </c:pt>
              </c:strCache>
            </c:strRef>
          </c:cat>
          <c:val>
            <c:numRef>
              <c:f>Charts!$R$149:$R$163</c:f>
              <c:numCache>
                <c:formatCode>"€"\ #,##0.00;\-"€"\ #,##0.00;"€"\ #,##0.00</c:formatCode>
                <c:ptCount val="15"/>
                <c:pt idx="0">
                  <c:v>3351865.2279999997</c:v>
                </c:pt>
                <c:pt idx="1">
                  <c:v>27796361.829999994</c:v>
                </c:pt>
                <c:pt idx="2">
                  <c:v>4952284.709999999</c:v>
                </c:pt>
                <c:pt idx="3">
                  <c:v>5429839.7770999996</c:v>
                </c:pt>
                <c:pt idx="4">
                  <c:v>12236276.287099997</c:v>
                </c:pt>
                <c:pt idx="5">
                  <c:v>19589451.761900004</c:v>
                </c:pt>
                <c:pt idx="6">
                  <c:v>25900678.420000006</c:v>
                </c:pt>
                <c:pt idx="7">
                  <c:v>2794048.5300000003</c:v>
                </c:pt>
                <c:pt idx="8">
                  <c:v>3482144.6399999987</c:v>
                </c:pt>
                <c:pt idx="9">
                  <c:v>2390688.4003999997</c:v>
                </c:pt>
                <c:pt idx="10">
                  <c:v>763203.51</c:v>
                </c:pt>
                <c:pt idx="11">
                  <c:v>2913550.4</c:v>
                </c:pt>
                <c:pt idx="12">
                  <c:v>608969.96</c:v>
                </c:pt>
                <c:pt idx="13">
                  <c:v>190166.35</c:v>
                </c:pt>
                <c:pt idx="14">
                  <c:v>935569.3</c:v>
                </c:pt>
              </c:numCache>
            </c:numRef>
          </c:val>
          <c:extLst>
            <c:ext xmlns:c16="http://schemas.microsoft.com/office/drawing/2014/chart" uri="{C3380CC4-5D6E-409C-BE32-E72D297353CC}">
              <c16:uniqueId val="{00000000-6525-403A-994D-DBF2D73D4469}"/>
            </c:ext>
          </c:extLst>
        </c:ser>
        <c:dLbls>
          <c:showLegendKey val="0"/>
          <c:showVal val="0"/>
          <c:showCatName val="0"/>
          <c:showSerName val="0"/>
          <c:showPercent val="0"/>
          <c:showBubbleSize val="0"/>
        </c:dLbls>
        <c:gapWidth val="219"/>
        <c:overlap val="-27"/>
        <c:axId val="572055135"/>
        <c:axId val="572063295"/>
      </c:barChart>
      <c:catAx>
        <c:axId val="5720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63295"/>
        <c:crosses val="autoZero"/>
        <c:auto val="1"/>
        <c:lblAlgn val="ctr"/>
        <c:lblOffset val="100"/>
        <c:noMultiLvlLbl val="0"/>
      </c:catAx>
      <c:valAx>
        <c:axId val="572063295"/>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5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Charts!$Q$167:$Q$171</c:f>
              <c:strCache>
                <c:ptCount val="5"/>
                <c:pt idx="0">
                  <c:v>Corene Shirer</c:v>
                </c:pt>
                <c:pt idx="1">
                  <c:v>Amelina Piscopiello</c:v>
                </c:pt>
                <c:pt idx="2">
                  <c:v>Hortense Gerring</c:v>
                </c:pt>
                <c:pt idx="3">
                  <c:v>Aurelie Wren</c:v>
                </c:pt>
                <c:pt idx="4">
                  <c:v>Ora Grennan</c:v>
                </c:pt>
              </c:strCache>
            </c:strRef>
          </c:cat>
          <c:val>
            <c:numRef>
              <c:f>Charts!$R$167:$R$171</c:f>
              <c:numCache>
                <c:formatCode>"€"\ #,##0.00;\-"€"\ #,##0.00;"€"\ #,##0.00</c:formatCode>
                <c:ptCount val="5"/>
                <c:pt idx="0">
                  <c:v>6897053.0299999975</c:v>
                </c:pt>
                <c:pt idx="1">
                  <c:v>6655160.1600000001</c:v>
                </c:pt>
                <c:pt idx="2">
                  <c:v>6160216.9699999988</c:v>
                </c:pt>
                <c:pt idx="3">
                  <c:v>5488553.1300000018</c:v>
                </c:pt>
                <c:pt idx="4">
                  <c:v>5238271.6499999994</c:v>
                </c:pt>
              </c:numCache>
            </c:numRef>
          </c:val>
          <c:extLst>
            <c:ext xmlns:c16="http://schemas.microsoft.com/office/drawing/2014/chart" uri="{C3380CC4-5D6E-409C-BE32-E72D297353CC}">
              <c16:uniqueId val="{00000000-07D2-47B7-888E-9E60825F5307}"/>
            </c:ext>
          </c:extLst>
        </c:ser>
        <c:dLbls>
          <c:dLblPos val="outEnd"/>
          <c:showLegendKey val="0"/>
          <c:showVal val="1"/>
          <c:showCatName val="0"/>
          <c:showSerName val="0"/>
          <c:showPercent val="0"/>
          <c:showBubbleSize val="0"/>
        </c:dLbls>
        <c:gapWidth val="182"/>
        <c:axId val="391039455"/>
        <c:axId val="391034655"/>
      </c:barChart>
      <c:catAx>
        <c:axId val="3910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34655"/>
        <c:crosses val="autoZero"/>
        <c:auto val="1"/>
        <c:lblAlgn val="ctr"/>
        <c:lblOffset val="100"/>
        <c:noMultiLvlLbl val="0"/>
      </c:catAx>
      <c:valAx>
        <c:axId val="391034655"/>
        <c:scaling>
          <c:orientation val="minMax"/>
        </c:scaling>
        <c:delete val="1"/>
        <c:axPos val="b"/>
        <c:numFmt formatCode="&quot;€&quot;\ #,##0.00;\-&quot;€&quot;\ #,##0.00;&quot;€&quot;\ #,##0.00" sourceLinked="1"/>
        <c:majorTickMark val="none"/>
        <c:minorTickMark val="none"/>
        <c:tickLblPos val="nextTo"/>
        <c:crossAx val="39103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898977676474272E-2"/>
              <c:y val="1.20360881858190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604159852354609E-2"/>
              <c:y val="9.44444361815882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Charts!$R$194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213D-4D70-AB4D-B14DE7B6C321}"/>
              </c:ext>
            </c:extLst>
          </c:dPt>
          <c:dLbls>
            <c:dLbl>
              <c:idx val="0"/>
              <c:layout>
                <c:manualLayout>
                  <c:x val="3.6898977676474272E-2"/>
                  <c:y val="1.20360881858190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3D-4D70-AB4D-B14DE7B6C3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Charts!$Q$195:$Q$204</c:f>
              <c:strCache>
                <c:ptCount val="10"/>
                <c:pt idx="0">
                  <c:v>Johns and Sons</c:v>
                </c:pt>
                <c:pt idx="1">
                  <c:v>Hessel-Stiedemann</c:v>
                </c:pt>
                <c:pt idx="2">
                  <c:v>Dickinson, Hyatt and Berge</c:v>
                </c:pt>
                <c:pt idx="3">
                  <c:v>Larkin-Collier</c:v>
                </c:pt>
                <c:pt idx="4">
                  <c:v>Altenwerth-Konopelski</c:v>
                </c:pt>
                <c:pt idx="5">
                  <c:v>Swaniawski, Runolfsson and Green</c:v>
                </c:pt>
                <c:pt idx="6">
                  <c:v>Romaguera-Dietrich</c:v>
                </c:pt>
                <c:pt idx="7">
                  <c:v>Rowe, Hermiston and Kessler</c:v>
                </c:pt>
                <c:pt idx="8">
                  <c:v>Wisoky Inc</c:v>
                </c:pt>
                <c:pt idx="9">
                  <c:v>Labadie and Sons</c:v>
                </c:pt>
              </c:strCache>
            </c:strRef>
          </c:cat>
          <c:val>
            <c:numRef>
              <c:f>Charts!$R$195:$R$204</c:f>
              <c:numCache>
                <c:formatCode>"€"\ #,##0.00;\-"€"\ #,##0.00;"€"\ #,##0.00</c:formatCode>
                <c:ptCount val="10"/>
                <c:pt idx="0">
                  <c:v>16487457.757999998</c:v>
                </c:pt>
                <c:pt idx="1">
                  <c:v>6393868.6070999987</c:v>
                </c:pt>
                <c:pt idx="2">
                  <c:v>2706730.3200000003</c:v>
                </c:pt>
                <c:pt idx="3">
                  <c:v>2566549.9000000004</c:v>
                </c:pt>
                <c:pt idx="4">
                  <c:v>2524208.3399999994</c:v>
                </c:pt>
                <c:pt idx="5">
                  <c:v>2458381.8719000001</c:v>
                </c:pt>
                <c:pt idx="6">
                  <c:v>2426708.3999999994</c:v>
                </c:pt>
                <c:pt idx="7">
                  <c:v>2312524.9400000004</c:v>
                </c:pt>
                <c:pt idx="8">
                  <c:v>2277714.4299999997</c:v>
                </c:pt>
                <c:pt idx="9">
                  <c:v>2165264.9100000006</c:v>
                </c:pt>
              </c:numCache>
            </c:numRef>
          </c:val>
          <c:extLst>
            <c:ext xmlns:c16="http://schemas.microsoft.com/office/drawing/2014/chart" uri="{C3380CC4-5D6E-409C-BE32-E72D297353CC}">
              <c16:uniqueId val="{00000000-213D-4D70-AB4D-B14DE7B6C321}"/>
            </c:ext>
          </c:extLst>
        </c:ser>
        <c:dLbls>
          <c:dLblPos val="outEnd"/>
          <c:showLegendKey val="0"/>
          <c:showVal val="1"/>
          <c:showCatName val="0"/>
          <c:showSerName val="0"/>
          <c:showPercent val="0"/>
          <c:showBubbleSize val="0"/>
        </c:dLbls>
        <c:gapWidth val="182"/>
        <c:axId val="392682751"/>
        <c:axId val="392688511"/>
      </c:barChart>
      <c:catAx>
        <c:axId val="392682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88511"/>
        <c:crosses val="autoZero"/>
        <c:auto val="1"/>
        <c:lblAlgn val="ctr"/>
        <c:lblOffset val="100"/>
        <c:noMultiLvlLbl val="0"/>
      </c:catAx>
      <c:valAx>
        <c:axId val="392688511"/>
        <c:scaling>
          <c:orientation val="minMax"/>
        </c:scaling>
        <c:delete val="1"/>
        <c:axPos val="b"/>
        <c:numFmt formatCode="&quot;€&quot;\ #,##0.00;\-&quot;€&quot;\ #,##0.00;&quot;€&quot;\ #,##0.00" sourceLinked="1"/>
        <c:majorTickMark val="none"/>
        <c:minorTickMark val="none"/>
        <c:tickLblPos val="nextTo"/>
        <c:crossAx val="3926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device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Charts!$R$114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0E-426E-8359-316047BFB0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0E-426E-8359-316047BFB0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0E-426E-8359-316047BFB0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0E-426E-8359-316047BFB0F1}"/>
              </c:ext>
            </c:extLst>
          </c:dPt>
          <c:dLbls>
            <c:dLbl>
              <c:idx val="2"/>
              <c:layout>
                <c:manualLayout>
                  <c:x val="-4.7222222222222221E-2"/>
                  <c:y val="-2.77777777777778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0E-426E-8359-316047BFB0F1}"/>
                </c:ext>
              </c:extLst>
            </c:dLbl>
            <c:dLbl>
              <c:idx val="3"/>
              <c:layout>
                <c:manualLayout>
                  <c:x val="0.12777777777777777"/>
                  <c:y val="-4.629629629629651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0E-426E-8359-316047BFB0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Charts!$Q$115:$Q$118</c:f>
              <c:strCache>
                <c:ptCount val="4"/>
                <c:pt idx="0">
                  <c:v>PC</c:v>
                </c:pt>
                <c:pt idx="1">
                  <c:v>Mobile</c:v>
                </c:pt>
                <c:pt idx="2">
                  <c:v>Tablet</c:v>
                </c:pt>
                <c:pt idx="3">
                  <c:v>Unidentified</c:v>
                </c:pt>
              </c:strCache>
            </c:strRef>
          </c:cat>
          <c:val>
            <c:numRef>
              <c:f>Charts!$R$115:$R$118</c:f>
              <c:numCache>
                <c:formatCode>"€"\ #,##0.00;\-"€"\ #,##0.00;"€"\ #,##0.00</c:formatCode>
                <c:ptCount val="4"/>
                <c:pt idx="0">
                  <c:v>89424895.024099991</c:v>
                </c:pt>
                <c:pt idx="1">
                  <c:v>15338843.260400005</c:v>
                </c:pt>
                <c:pt idx="2">
                  <c:v>8267060.5300000003</c:v>
                </c:pt>
                <c:pt idx="3">
                  <c:v>304300.28999999998</c:v>
                </c:pt>
              </c:numCache>
            </c:numRef>
          </c:val>
          <c:extLst>
            <c:ext xmlns:c16="http://schemas.microsoft.com/office/drawing/2014/chart" uri="{C3380CC4-5D6E-409C-BE32-E72D297353CC}">
              <c16:uniqueId val="{00000008-CF0E-426E-8359-316047BFB0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Charts!$R$56</c:f>
              <c:strCache>
                <c:ptCount val="1"/>
                <c:pt idx="0">
                  <c:v>Total</c:v>
                </c:pt>
              </c:strCache>
            </c:strRef>
          </c:tx>
          <c:spPr>
            <a:solidFill>
              <a:schemeClr val="accent1"/>
            </a:solidFill>
            <a:ln>
              <a:noFill/>
            </a:ln>
            <a:effectLst/>
          </c:spPr>
          <c:invertIfNegative val="0"/>
          <c:cat>
            <c:strRef>
              <c:f>Charts!$Q$57:$Q$71</c:f>
              <c:strCache>
                <c:ptCount val="15"/>
                <c:pt idx="0">
                  <c:v>Portugal</c:v>
                </c:pt>
                <c:pt idx="1">
                  <c:v>France</c:v>
                </c:pt>
                <c:pt idx="2">
                  <c:v>Sweden</c:v>
                </c:pt>
                <c:pt idx="3">
                  <c:v>UK</c:v>
                </c:pt>
                <c:pt idx="4">
                  <c:v>Ireland</c:v>
                </c:pt>
                <c:pt idx="5">
                  <c:v>Finland</c:v>
                </c:pt>
                <c:pt idx="6">
                  <c:v>Netherlands</c:v>
                </c:pt>
                <c:pt idx="7">
                  <c:v>Bulgaria</c:v>
                </c:pt>
                <c:pt idx="8">
                  <c:v>Luxembourg</c:v>
                </c:pt>
                <c:pt idx="9">
                  <c:v>Germany</c:v>
                </c:pt>
                <c:pt idx="10">
                  <c:v>Spain</c:v>
                </c:pt>
                <c:pt idx="11">
                  <c:v>Italy</c:v>
                </c:pt>
                <c:pt idx="12">
                  <c:v>Denmark</c:v>
                </c:pt>
                <c:pt idx="13">
                  <c:v>Belgium</c:v>
                </c:pt>
                <c:pt idx="14">
                  <c:v>Austria</c:v>
                </c:pt>
              </c:strCache>
            </c:strRef>
          </c:cat>
          <c:val>
            <c:numRef>
              <c:f>Charts!$R$57:$R$71</c:f>
              <c:numCache>
                <c:formatCode>"€"\ #,##0.00;\-"€"\ #,##0.00;"€"\ #,##0.00</c:formatCode>
                <c:ptCount val="15"/>
                <c:pt idx="0">
                  <c:v>4625386.7910999991</c:v>
                </c:pt>
                <c:pt idx="1">
                  <c:v>4335004.57</c:v>
                </c:pt>
                <c:pt idx="2">
                  <c:v>3245764.361899999</c:v>
                </c:pt>
                <c:pt idx="3">
                  <c:v>2116680.6670999993</c:v>
                </c:pt>
                <c:pt idx="4">
                  <c:v>829311.98999999987</c:v>
                </c:pt>
                <c:pt idx="5">
                  <c:v>781089.78710000007</c:v>
                </c:pt>
                <c:pt idx="6">
                  <c:v>652766.52800000005</c:v>
                </c:pt>
                <c:pt idx="7">
                  <c:v>605403.12</c:v>
                </c:pt>
                <c:pt idx="8">
                  <c:v>482566.46</c:v>
                </c:pt>
                <c:pt idx="9">
                  <c:v>465958.35000000009</c:v>
                </c:pt>
                <c:pt idx="10">
                  <c:v>306138.89039999997</c:v>
                </c:pt>
                <c:pt idx="11">
                  <c:v>155458.63000000003</c:v>
                </c:pt>
                <c:pt idx="12">
                  <c:v>133352.69999999998</c:v>
                </c:pt>
                <c:pt idx="13">
                  <c:v>94433.280000000013</c:v>
                </c:pt>
                <c:pt idx="14">
                  <c:v>35718.379999999997</c:v>
                </c:pt>
              </c:numCache>
            </c:numRef>
          </c:val>
          <c:extLst>
            <c:ext xmlns:c16="http://schemas.microsoft.com/office/drawing/2014/chart" uri="{C3380CC4-5D6E-409C-BE32-E72D297353CC}">
              <c16:uniqueId val="{00000000-C646-4E79-82FF-76FE73A84C3B}"/>
            </c:ext>
          </c:extLst>
        </c:ser>
        <c:dLbls>
          <c:showLegendKey val="0"/>
          <c:showVal val="0"/>
          <c:showCatName val="0"/>
          <c:showSerName val="0"/>
          <c:showPercent val="0"/>
          <c:showBubbleSize val="0"/>
        </c:dLbls>
        <c:gapWidth val="219"/>
        <c:overlap val="-27"/>
        <c:axId val="492121680"/>
        <c:axId val="492120240"/>
      </c:barChart>
      <c:catAx>
        <c:axId val="4921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20240"/>
        <c:crosses val="autoZero"/>
        <c:auto val="1"/>
        <c:lblAlgn val="ctr"/>
        <c:lblOffset val="100"/>
        <c:noMultiLvlLbl val="0"/>
      </c:catAx>
      <c:valAx>
        <c:axId val="492120240"/>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2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Charts!$R$4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A-4505-8DDC-160A4FA34E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A-4505-8DDC-160A4FA34E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3A-4505-8DDC-160A4FA34E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3A-4505-8DDC-160A4FA34E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Charts!$Q$5:$Q$8</c:f>
              <c:strCache>
                <c:ptCount val="4"/>
                <c:pt idx="0">
                  <c:v>Autumn</c:v>
                </c:pt>
                <c:pt idx="1">
                  <c:v>Spring</c:v>
                </c:pt>
                <c:pt idx="2">
                  <c:v>Summer</c:v>
                </c:pt>
                <c:pt idx="3">
                  <c:v>Winter</c:v>
                </c:pt>
              </c:strCache>
            </c:strRef>
          </c:cat>
          <c:val>
            <c:numRef>
              <c:f>Charts!$R$5:$R$8</c:f>
              <c:numCache>
                <c:formatCode>"€"\ #,##0.00;\-"€"\ #,##0.00;"€"\ #,##0.00</c:formatCode>
                <c:ptCount val="4"/>
                <c:pt idx="0">
                  <c:v>27295399.749999996</c:v>
                </c:pt>
                <c:pt idx="1">
                  <c:v>27654126.531899996</c:v>
                </c:pt>
                <c:pt idx="2">
                  <c:v>30068282.908400025</c:v>
                </c:pt>
                <c:pt idx="3">
                  <c:v>28317289.914200004</c:v>
                </c:pt>
              </c:numCache>
            </c:numRef>
          </c:val>
          <c:extLst>
            <c:ext xmlns:c16="http://schemas.microsoft.com/office/drawing/2014/chart" uri="{C3380CC4-5D6E-409C-BE32-E72D297353CC}">
              <c16:uniqueId val="{00000008-473A-4505-8DDC-160A4FA34E3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device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4.7222222222222221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2777777777777777"/>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Charts!$R$114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8E-4B87-8CD2-B2734A7299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8E-4B87-8CD2-B2734A7299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8E-4B87-8CD2-B2734A7299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8E-4B87-8CD2-B2734A729977}"/>
              </c:ext>
            </c:extLst>
          </c:dPt>
          <c:dLbls>
            <c:dLbl>
              <c:idx val="2"/>
              <c:layout>
                <c:manualLayout>
                  <c:x val="-4.7222222222222221E-2"/>
                  <c:y val="-2.77777777777778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8E-4B87-8CD2-B2734A729977}"/>
                </c:ext>
              </c:extLst>
            </c:dLbl>
            <c:dLbl>
              <c:idx val="3"/>
              <c:layout>
                <c:manualLayout>
                  <c:x val="0.12777777777777777"/>
                  <c:y val="-4.629629629629651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8E-4B87-8CD2-B2734A7299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Charts!$Q$115:$Q$118</c:f>
              <c:strCache>
                <c:ptCount val="4"/>
                <c:pt idx="0">
                  <c:v>PC</c:v>
                </c:pt>
                <c:pt idx="1">
                  <c:v>Mobile</c:v>
                </c:pt>
                <c:pt idx="2">
                  <c:v>Tablet</c:v>
                </c:pt>
                <c:pt idx="3">
                  <c:v>Unidentified</c:v>
                </c:pt>
              </c:strCache>
            </c:strRef>
          </c:cat>
          <c:val>
            <c:numRef>
              <c:f>Charts!$R$115:$R$118</c:f>
              <c:numCache>
                <c:formatCode>"€"\ #,##0.00;\-"€"\ #,##0.00;"€"\ #,##0.00</c:formatCode>
                <c:ptCount val="4"/>
                <c:pt idx="0">
                  <c:v>89424895.024099991</c:v>
                </c:pt>
                <c:pt idx="1">
                  <c:v>15338843.260400005</c:v>
                </c:pt>
                <c:pt idx="2">
                  <c:v>8267060.5300000003</c:v>
                </c:pt>
                <c:pt idx="3">
                  <c:v>304300.28999999998</c:v>
                </c:pt>
              </c:numCache>
            </c:numRef>
          </c:val>
          <c:extLst>
            <c:ext xmlns:c16="http://schemas.microsoft.com/office/drawing/2014/chart" uri="{C3380CC4-5D6E-409C-BE32-E72D297353CC}">
              <c16:uniqueId val="{00000008-B28E-4B87-8CD2-B2734A7299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Project.xlsx]Charts!PivotTable47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Charts!$N$77</c:f>
              <c:strCache>
                <c:ptCount val="1"/>
                <c:pt idx="0">
                  <c:v>Total</c:v>
                </c:pt>
              </c:strCache>
            </c:strRef>
          </c:tx>
          <c:spPr>
            <a:solidFill>
              <a:schemeClr val="accent2"/>
            </a:solidFill>
            <a:ln>
              <a:noFill/>
            </a:ln>
            <a:effectLst/>
          </c:spPr>
          <c:invertIfNegative val="0"/>
          <c:cat>
            <c:strRef>
              <c:f>Charts!$M$78:$M$87</c:f>
              <c:strCache>
                <c:ptCount val="10"/>
                <c:pt idx="0">
                  <c:v>Clothing</c:v>
                </c:pt>
                <c:pt idx="1">
                  <c:v>Games</c:v>
                </c:pt>
                <c:pt idx="2">
                  <c:v>Electronics</c:v>
                </c:pt>
                <c:pt idx="3">
                  <c:v>Appliances</c:v>
                </c:pt>
                <c:pt idx="4">
                  <c:v>Books</c:v>
                </c:pt>
                <c:pt idx="5">
                  <c:v>Beauty</c:v>
                </c:pt>
                <c:pt idx="6">
                  <c:v>Smartphones</c:v>
                </c:pt>
                <c:pt idx="7">
                  <c:v>Outdoors</c:v>
                </c:pt>
                <c:pt idx="8">
                  <c:v>Accessories</c:v>
                </c:pt>
                <c:pt idx="9">
                  <c:v>Other</c:v>
                </c:pt>
              </c:strCache>
            </c:strRef>
          </c:cat>
          <c:val>
            <c:numRef>
              <c:f>Charts!$N$78:$N$87</c:f>
              <c:numCache>
                <c:formatCode>"€"\ #,##0.00;\-"€"\ #,##0.00;"€"\ #,##0.00</c:formatCode>
                <c:ptCount val="10"/>
                <c:pt idx="0">
                  <c:v>2950943.2550999876</c:v>
                </c:pt>
                <c:pt idx="1">
                  <c:v>2523021.2010999862</c:v>
                </c:pt>
                <c:pt idx="2">
                  <c:v>2401133</c:v>
                </c:pt>
                <c:pt idx="3">
                  <c:v>2378575.5223000087</c:v>
                </c:pt>
                <c:pt idx="4">
                  <c:v>2225913.8800000027</c:v>
                </c:pt>
                <c:pt idx="5">
                  <c:v>2118427.4299999978</c:v>
                </c:pt>
                <c:pt idx="6">
                  <c:v>1877327.6671000011</c:v>
                </c:pt>
                <c:pt idx="7">
                  <c:v>1056762.5099999988</c:v>
                </c:pt>
                <c:pt idx="8">
                  <c:v>783896.33000000054</c:v>
                </c:pt>
                <c:pt idx="9">
                  <c:v>549033.71</c:v>
                </c:pt>
              </c:numCache>
            </c:numRef>
          </c:val>
          <c:extLst>
            <c:ext xmlns:c16="http://schemas.microsoft.com/office/drawing/2014/chart" uri="{C3380CC4-5D6E-409C-BE32-E72D297353CC}">
              <c16:uniqueId val="{00000000-9719-4019-B4AB-BE07D9461CB3}"/>
            </c:ext>
          </c:extLst>
        </c:ser>
        <c:dLbls>
          <c:showLegendKey val="0"/>
          <c:showVal val="0"/>
          <c:showCatName val="0"/>
          <c:showSerName val="0"/>
          <c:showPercent val="0"/>
          <c:showBubbleSize val="0"/>
        </c:dLbls>
        <c:gapWidth val="219"/>
        <c:overlap val="-27"/>
        <c:axId val="574079231"/>
        <c:axId val="574066751"/>
      </c:barChart>
      <c:catAx>
        <c:axId val="57407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66751"/>
        <c:crosses val="autoZero"/>
        <c:auto val="1"/>
        <c:lblAlgn val="ctr"/>
        <c:lblOffset val="100"/>
        <c:noMultiLvlLbl val="0"/>
      </c:catAx>
      <c:valAx>
        <c:axId val="574066751"/>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7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Project.xlsx]Charts!PivotTable48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Charts!$R$100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Charts!$Q$101:$Q$110</c:f>
              <c:strCache>
                <c:ptCount val="10"/>
                <c:pt idx="0">
                  <c:v>Outdoors</c:v>
                </c:pt>
                <c:pt idx="1">
                  <c:v>Books</c:v>
                </c:pt>
                <c:pt idx="2">
                  <c:v>Beauty</c:v>
                </c:pt>
                <c:pt idx="3">
                  <c:v>Other</c:v>
                </c:pt>
                <c:pt idx="4">
                  <c:v>Smartphones</c:v>
                </c:pt>
                <c:pt idx="5">
                  <c:v>Clothing</c:v>
                </c:pt>
                <c:pt idx="6">
                  <c:v>Accessories</c:v>
                </c:pt>
                <c:pt idx="7">
                  <c:v>Electronics</c:v>
                </c:pt>
                <c:pt idx="8">
                  <c:v>Games</c:v>
                </c:pt>
                <c:pt idx="9">
                  <c:v>Appliances</c:v>
                </c:pt>
              </c:strCache>
            </c:strRef>
          </c:cat>
          <c:val>
            <c:numRef>
              <c:f>Charts!$R$101:$R$110</c:f>
              <c:numCache>
                <c:formatCode>0.00%;\-0.00%;0.00%</c:formatCode>
                <c:ptCount val="10"/>
                <c:pt idx="0">
                  <c:v>0.17793384183717306</c:v>
                </c:pt>
                <c:pt idx="1">
                  <c:v>0.16888599723023856</c:v>
                </c:pt>
                <c:pt idx="2">
                  <c:v>0.16854297585127706</c:v>
                </c:pt>
                <c:pt idx="3">
                  <c:v>0.16826127391645779</c:v>
                </c:pt>
                <c:pt idx="4">
                  <c:v>0.16824443101130876</c:v>
                </c:pt>
                <c:pt idx="5">
                  <c:v>0.16699651834811613</c:v>
                </c:pt>
                <c:pt idx="6">
                  <c:v>0.1666470830448247</c:v>
                </c:pt>
                <c:pt idx="7">
                  <c:v>0.1658003128421294</c:v>
                </c:pt>
                <c:pt idx="8">
                  <c:v>0.16398585643557645</c:v>
                </c:pt>
                <c:pt idx="9">
                  <c:v>0.15874775367363642</c:v>
                </c:pt>
              </c:numCache>
            </c:numRef>
          </c:val>
          <c:extLst>
            <c:ext xmlns:c16="http://schemas.microsoft.com/office/drawing/2014/chart" uri="{C3380CC4-5D6E-409C-BE32-E72D297353CC}">
              <c16:uniqueId val="{00000000-7CCE-4529-A1AE-3FDC36B50609}"/>
            </c:ext>
          </c:extLst>
        </c:ser>
        <c:dLbls>
          <c:dLblPos val="outEnd"/>
          <c:showLegendKey val="0"/>
          <c:showVal val="1"/>
          <c:showCatName val="0"/>
          <c:showSerName val="0"/>
          <c:showPercent val="0"/>
          <c:showBubbleSize val="0"/>
        </c:dLbls>
        <c:gapWidth val="182"/>
        <c:axId val="275611727"/>
        <c:axId val="275610287"/>
      </c:barChart>
      <c:catAx>
        <c:axId val="27561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10287"/>
        <c:crosses val="autoZero"/>
        <c:auto val="1"/>
        <c:lblAlgn val="ctr"/>
        <c:lblOffset val="100"/>
        <c:noMultiLvlLbl val="0"/>
      </c:catAx>
      <c:valAx>
        <c:axId val="275610287"/>
        <c:scaling>
          <c:orientation val="minMax"/>
        </c:scaling>
        <c:delete val="1"/>
        <c:axPos val="b"/>
        <c:numFmt formatCode="0.00%;\-0.00%;0.00%" sourceLinked="1"/>
        <c:majorTickMark val="none"/>
        <c:minorTickMark val="none"/>
        <c:tickLblPos val="nextTo"/>
        <c:crossAx val="27561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Project.xlsx]Charts!PivotTable51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 manger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Charts!$R$148</c:f>
              <c:strCache>
                <c:ptCount val="1"/>
                <c:pt idx="0">
                  <c:v>Total</c:v>
                </c:pt>
              </c:strCache>
            </c:strRef>
          </c:tx>
          <c:spPr>
            <a:solidFill>
              <a:schemeClr val="accent5"/>
            </a:solidFill>
            <a:ln>
              <a:noFill/>
            </a:ln>
            <a:effectLst/>
          </c:spPr>
          <c:invertIfNegative val="0"/>
          <c:cat>
            <c:strRef>
              <c:f>Charts!$Q$149:$Q$163</c:f>
              <c:strCache>
                <c:ptCount val="15"/>
                <c:pt idx="0">
                  <c:v>Denice Amberg</c:v>
                </c:pt>
                <c:pt idx="1">
                  <c:v>Celine Tumasian</c:v>
                </c:pt>
                <c:pt idx="2">
                  <c:v>Glenine Suttaby</c:v>
                </c:pt>
                <c:pt idx="3">
                  <c:v>Hube Corey</c:v>
                </c:pt>
                <c:pt idx="4">
                  <c:v>Jessamine Apark</c:v>
                </c:pt>
                <c:pt idx="5">
                  <c:v>Maxie Marrow</c:v>
                </c:pt>
                <c:pt idx="6">
                  <c:v>Othello Bowes</c:v>
                </c:pt>
                <c:pt idx="7">
                  <c:v>Rickard Doogood</c:v>
                </c:pt>
                <c:pt idx="8">
                  <c:v>Charil Alpe</c:v>
                </c:pt>
                <c:pt idx="9">
                  <c:v>Emalia Dinse</c:v>
                </c:pt>
                <c:pt idx="10">
                  <c:v>Modestia Byfford</c:v>
                </c:pt>
                <c:pt idx="11">
                  <c:v>Ilsa Kob</c:v>
                </c:pt>
                <c:pt idx="12">
                  <c:v>Lambert Norheny</c:v>
                </c:pt>
                <c:pt idx="13">
                  <c:v>Orsa Geekin</c:v>
                </c:pt>
                <c:pt idx="14">
                  <c:v>Piggy Roscrigg</c:v>
                </c:pt>
              </c:strCache>
            </c:strRef>
          </c:cat>
          <c:val>
            <c:numRef>
              <c:f>Charts!$R$149:$R$163</c:f>
              <c:numCache>
                <c:formatCode>"€"\ #,##0.00;\-"€"\ #,##0.00;"€"\ #,##0.00</c:formatCode>
                <c:ptCount val="15"/>
                <c:pt idx="0">
                  <c:v>3351865.2279999997</c:v>
                </c:pt>
                <c:pt idx="1">
                  <c:v>27796361.829999994</c:v>
                </c:pt>
                <c:pt idx="2">
                  <c:v>4952284.709999999</c:v>
                </c:pt>
                <c:pt idx="3">
                  <c:v>5429839.7770999996</c:v>
                </c:pt>
                <c:pt idx="4">
                  <c:v>12236276.287099997</c:v>
                </c:pt>
                <c:pt idx="5">
                  <c:v>19589451.761900004</c:v>
                </c:pt>
                <c:pt idx="6">
                  <c:v>25900678.420000006</c:v>
                </c:pt>
                <c:pt idx="7">
                  <c:v>2794048.5300000003</c:v>
                </c:pt>
                <c:pt idx="8">
                  <c:v>3482144.6399999987</c:v>
                </c:pt>
                <c:pt idx="9">
                  <c:v>2390688.4003999997</c:v>
                </c:pt>
                <c:pt idx="10">
                  <c:v>763203.51</c:v>
                </c:pt>
                <c:pt idx="11">
                  <c:v>2913550.4</c:v>
                </c:pt>
                <c:pt idx="12">
                  <c:v>608969.96</c:v>
                </c:pt>
                <c:pt idx="13">
                  <c:v>190166.35</c:v>
                </c:pt>
                <c:pt idx="14">
                  <c:v>935569.3</c:v>
                </c:pt>
              </c:numCache>
            </c:numRef>
          </c:val>
          <c:extLst>
            <c:ext xmlns:c16="http://schemas.microsoft.com/office/drawing/2014/chart" uri="{C3380CC4-5D6E-409C-BE32-E72D297353CC}">
              <c16:uniqueId val="{00000000-3734-443F-91F0-1E2E65972939}"/>
            </c:ext>
          </c:extLst>
        </c:ser>
        <c:dLbls>
          <c:showLegendKey val="0"/>
          <c:showVal val="0"/>
          <c:showCatName val="0"/>
          <c:showSerName val="0"/>
          <c:showPercent val="0"/>
          <c:showBubbleSize val="0"/>
        </c:dLbls>
        <c:gapWidth val="219"/>
        <c:overlap val="-27"/>
        <c:axId val="572055135"/>
        <c:axId val="572063295"/>
      </c:barChart>
      <c:catAx>
        <c:axId val="5720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63295"/>
        <c:crosses val="autoZero"/>
        <c:auto val="1"/>
        <c:lblAlgn val="ctr"/>
        <c:lblOffset val="100"/>
        <c:noMultiLvlLbl val="0"/>
      </c:catAx>
      <c:valAx>
        <c:axId val="572063295"/>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5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Rep</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Charts!$R$166</c:f>
              <c:strCache>
                <c:ptCount val="1"/>
                <c:pt idx="0">
                  <c:v>Total</c:v>
                </c:pt>
              </c:strCache>
            </c:strRef>
          </c:tx>
          <c:spPr>
            <a:solidFill>
              <a:schemeClr val="accent1"/>
            </a:solidFill>
            <a:ln>
              <a:noFill/>
            </a:ln>
            <a:effectLst/>
          </c:spPr>
          <c:invertIfNegative val="0"/>
          <c:dLbls>
            <c:dLbl>
              <c:idx val="0"/>
              <c:layout>
                <c:manualLayout>
                  <c:x val="-1.8663680477791589E-3"/>
                  <c:y val="-6.01851851851853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63-434E-A9E1-10E120D9F4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Charts!$Q$167:$Q$171</c:f>
              <c:strCache>
                <c:ptCount val="5"/>
                <c:pt idx="0">
                  <c:v>Corene Shirer</c:v>
                </c:pt>
                <c:pt idx="1">
                  <c:v>Amelina Piscopiello</c:v>
                </c:pt>
                <c:pt idx="2">
                  <c:v>Hortense Gerring</c:v>
                </c:pt>
                <c:pt idx="3">
                  <c:v>Aurelie Wren</c:v>
                </c:pt>
                <c:pt idx="4">
                  <c:v>Ora Grennan</c:v>
                </c:pt>
              </c:strCache>
            </c:strRef>
          </c:cat>
          <c:val>
            <c:numRef>
              <c:f>Charts!$R$167:$R$171</c:f>
              <c:numCache>
                <c:formatCode>"€"\ #,##0.00;\-"€"\ #,##0.00;"€"\ #,##0.00</c:formatCode>
                <c:ptCount val="5"/>
                <c:pt idx="0">
                  <c:v>6897053.0299999975</c:v>
                </c:pt>
                <c:pt idx="1">
                  <c:v>6655160.1600000001</c:v>
                </c:pt>
                <c:pt idx="2">
                  <c:v>6160216.9699999988</c:v>
                </c:pt>
                <c:pt idx="3">
                  <c:v>5488553.1300000018</c:v>
                </c:pt>
                <c:pt idx="4">
                  <c:v>5238271.6499999994</c:v>
                </c:pt>
              </c:numCache>
            </c:numRef>
          </c:val>
          <c:extLst>
            <c:ext xmlns:c16="http://schemas.microsoft.com/office/drawing/2014/chart" uri="{C3380CC4-5D6E-409C-BE32-E72D297353CC}">
              <c16:uniqueId val="{00000006-5463-434E-A9E1-10E120D9F4FD}"/>
            </c:ext>
          </c:extLst>
        </c:ser>
        <c:dLbls>
          <c:dLblPos val="outEnd"/>
          <c:showLegendKey val="0"/>
          <c:showVal val="1"/>
          <c:showCatName val="0"/>
          <c:showSerName val="0"/>
          <c:showPercent val="0"/>
          <c:showBubbleSize val="0"/>
        </c:dLbls>
        <c:gapWidth val="182"/>
        <c:axId val="392682751"/>
        <c:axId val="392688511"/>
      </c:barChart>
      <c:catAx>
        <c:axId val="392682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88511"/>
        <c:crosses val="autoZero"/>
        <c:auto val="1"/>
        <c:lblAlgn val="ctr"/>
        <c:lblOffset val="100"/>
        <c:noMultiLvlLbl val="0"/>
      </c:catAx>
      <c:valAx>
        <c:axId val="392688511"/>
        <c:scaling>
          <c:orientation val="minMax"/>
        </c:scaling>
        <c:delete val="1"/>
        <c:axPos val="b"/>
        <c:numFmt formatCode="&quot;€&quot;\ #,##0.00;\-&quot;€&quot;\ #,##0.00;&quot;€&quot;\ #,##0.00" sourceLinked="1"/>
        <c:majorTickMark val="none"/>
        <c:minorTickMark val="none"/>
        <c:tickLblPos val="nextTo"/>
        <c:crossAx val="392682751"/>
        <c:crosses val="autoZero"/>
        <c:crossBetween val="between"/>
      </c:valAx>
      <c:spPr>
        <a:noFill/>
      </c:spPr>
    </c:plotArea>
    <c:plotVisOnly val="1"/>
    <c:dispBlanksAs val="gap"/>
    <c:showDLblsOverMax val="0"/>
    <c:extLst/>
  </c:chart>
  <c:spPr>
    <a:solidFill>
      <a:schemeClr val="accent4">
        <a:lumMod val="40000"/>
        <a:lumOff val="60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Project.xlsx]Charts!PivotTable46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Charts!$T$72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Charts!$S$73:$S$87</c:f>
              <c:strCache>
                <c:ptCount val="15"/>
                <c:pt idx="0">
                  <c:v>Luxembourg</c:v>
                </c:pt>
                <c:pt idx="1">
                  <c:v>Finland</c:v>
                </c:pt>
                <c:pt idx="2">
                  <c:v>UK</c:v>
                </c:pt>
                <c:pt idx="3">
                  <c:v>Netherlands</c:v>
                </c:pt>
                <c:pt idx="4">
                  <c:v>Germany</c:v>
                </c:pt>
                <c:pt idx="5">
                  <c:v>Portugal</c:v>
                </c:pt>
                <c:pt idx="6">
                  <c:v>Bulgaria</c:v>
                </c:pt>
                <c:pt idx="7">
                  <c:v>Ireland</c:v>
                </c:pt>
                <c:pt idx="8">
                  <c:v>France</c:v>
                </c:pt>
                <c:pt idx="9">
                  <c:v>Sweden</c:v>
                </c:pt>
                <c:pt idx="10">
                  <c:v>Belgium</c:v>
                </c:pt>
                <c:pt idx="11">
                  <c:v>Austria</c:v>
                </c:pt>
                <c:pt idx="12">
                  <c:v>Italy</c:v>
                </c:pt>
                <c:pt idx="13">
                  <c:v>Spain</c:v>
                </c:pt>
                <c:pt idx="14">
                  <c:v>Denmark</c:v>
                </c:pt>
              </c:strCache>
            </c:strRef>
          </c:cat>
          <c:val>
            <c:numRef>
              <c:f>Charts!$T$73:$T$87</c:f>
              <c:numCache>
                <c:formatCode>"€"\ #,##0.0;\-"€"\ #,##0.0;"€"\ #,##0.0</c:formatCode>
                <c:ptCount val="15"/>
                <c:pt idx="0">
                  <c:v>132434.1090909091</c:v>
                </c:pt>
                <c:pt idx="1">
                  <c:v>123405.44947954545</c:v>
                </c:pt>
                <c:pt idx="2">
                  <c:v>119963.49301078428</c:v>
                </c:pt>
                <c:pt idx="3">
                  <c:v>119709.47242857142</c:v>
                </c:pt>
                <c:pt idx="4">
                  <c:v>116418.68875000002</c:v>
                </c:pt>
                <c:pt idx="5">
                  <c:v>116302.7691631799</c:v>
                </c:pt>
                <c:pt idx="6">
                  <c:v>116071.48799999995</c:v>
                </c:pt>
                <c:pt idx="7">
                  <c:v>115169.41186046509</c:v>
                </c:pt>
                <c:pt idx="8">
                  <c:v>111640.85525862071</c:v>
                </c:pt>
                <c:pt idx="9">
                  <c:v>107634.35034010992</c:v>
                </c:pt>
                <c:pt idx="10">
                  <c:v>101494.99333333333</c:v>
                </c:pt>
                <c:pt idx="11">
                  <c:v>95083.175000000003</c:v>
                </c:pt>
                <c:pt idx="12">
                  <c:v>93556.930000000008</c:v>
                </c:pt>
                <c:pt idx="13">
                  <c:v>91949.553861538443</c:v>
                </c:pt>
                <c:pt idx="14">
                  <c:v>69382.137272727268</c:v>
                </c:pt>
              </c:numCache>
            </c:numRef>
          </c:val>
          <c:extLst>
            <c:ext xmlns:c16="http://schemas.microsoft.com/office/drawing/2014/chart" uri="{C3380CC4-5D6E-409C-BE32-E72D297353CC}">
              <c16:uniqueId val="{00000000-9900-4345-B786-1A6CC3A9E36E}"/>
            </c:ext>
          </c:extLst>
        </c:ser>
        <c:dLbls>
          <c:dLblPos val="outEnd"/>
          <c:showLegendKey val="0"/>
          <c:showVal val="1"/>
          <c:showCatName val="0"/>
          <c:showSerName val="0"/>
          <c:showPercent val="0"/>
          <c:showBubbleSize val="0"/>
        </c:dLbls>
        <c:gapWidth val="182"/>
        <c:axId val="275618447"/>
        <c:axId val="275607887"/>
      </c:barChart>
      <c:catAx>
        <c:axId val="275618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7887"/>
        <c:crosses val="autoZero"/>
        <c:auto val="1"/>
        <c:lblAlgn val="ctr"/>
        <c:lblOffset val="100"/>
        <c:noMultiLvlLbl val="0"/>
      </c:catAx>
      <c:valAx>
        <c:axId val="275607887"/>
        <c:scaling>
          <c:orientation val="minMax"/>
        </c:scaling>
        <c:delete val="1"/>
        <c:axPos val="b"/>
        <c:numFmt formatCode="&quot;€&quot;\ #,##0.0;\-&quot;€&quot;\ #,##0.0;&quot;€&quot;\ #,##0.0" sourceLinked="1"/>
        <c:majorTickMark val="none"/>
        <c:minorTickMark val="none"/>
        <c:tickLblPos val="nextTo"/>
        <c:crossAx val="27561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Project.xlsx]Charts!PivotTable44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Charts!$R$21</c:f>
              <c:strCache>
                <c:ptCount val="1"/>
                <c:pt idx="0">
                  <c:v>Total</c:v>
                </c:pt>
              </c:strCache>
            </c:strRef>
          </c:tx>
          <c:spPr>
            <a:solidFill>
              <a:schemeClr val="accent5"/>
            </a:solidFill>
            <a:ln>
              <a:noFill/>
            </a:ln>
            <a:effectLst/>
          </c:spPr>
          <c:invertIfNegative val="0"/>
          <c:cat>
            <c:strRef>
              <c:f>Charts!$Q$22:$Q$36</c:f>
              <c:strCache>
                <c:ptCount val="15"/>
                <c:pt idx="0">
                  <c:v>Portugal</c:v>
                </c:pt>
                <c:pt idx="1">
                  <c:v>France</c:v>
                </c:pt>
                <c:pt idx="2">
                  <c:v>Sweden</c:v>
                </c:pt>
                <c:pt idx="3">
                  <c:v>UK</c:v>
                </c:pt>
                <c:pt idx="4">
                  <c:v>Finland</c:v>
                </c:pt>
                <c:pt idx="5">
                  <c:v>Ireland</c:v>
                </c:pt>
                <c:pt idx="6">
                  <c:v>Bulgaria</c:v>
                </c:pt>
                <c:pt idx="7">
                  <c:v>Netherlands</c:v>
                </c:pt>
                <c:pt idx="8">
                  <c:v>Luxembourg</c:v>
                </c:pt>
                <c:pt idx="9">
                  <c:v>Germany</c:v>
                </c:pt>
                <c:pt idx="10">
                  <c:v>Spain</c:v>
                </c:pt>
                <c:pt idx="11">
                  <c:v>Italy</c:v>
                </c:pt>
                <c:pt idx="12">
                  <c:v>Denmark</c:v>
                </c:pt>
                <c:pt idx="13">
                  <c:v>Belgium</c:v>
                </c:pt>
                <c:pt idx="14">
                  <c:v>Austria</c:v>
                </c:pt>
              </c:strCache>
            </c:strRef>
          </c:cat>
          <c:val>
            <c:numRef>
              <c:f>Charts!$R$22:$R$36</c:f>
              <c:numCache>
                <c:formatCode>"€"\ #,##0.00;\-"€"\ #,##0.00;"€"\ #,##0.00</c:formatCode>
                <c:ptCount val="15"/>
                <c:pt idx="0">
                  <c:v>27796361.829999994</c:v>
                </c:pt>
                <c:pt idx="1">
                  <c:v>25900678.420000006</c:v>
                </c:pt>
                <c:pt idx="2">
                  <c:v>19589451.761900004</c:v>
                </c:pt>
                <c:pt idx="3">
                  <c:v>12236276.287099997</c:v>
                </c:pt>
                <c:pt idx="4">
                  <c:v>5429839.7770999996</c:v>
                </c:pt>
                <c:pt idx="5">
                  <c:v>4952284.709999999</c:v>
                </c:pt>
                <c:pt idx="6">
                  <c:v>3482144.6399999987</c:v>
                </c:pt>
                <c:pt idx="7">
                  <c:v>3351865.2279999997</c:v>
                </c:pt>
                <c:pt idx="8">
                  <c:v>2913550.4</c:v>
                </c:pt>
                <c:pt idx="9">
                  <c:v>2794048.5300000003</c:v>
                </c:pt>
                <c:pt idx="10">
                  <c:v>2390688.4003999997</c:v>
                </c:pt>
                <c:pt idx="11">
                  <c:v>935569.3</c:v>
                </c:pt>
                <c:pt idx="12">
                  <c:v>763203.51</c:v>
                </c:pt>
                <c:pt idx="13">
                  <c:v>608969.96</c:v>
                </c:pt>
                <c:pt idx="14">
                  <c:v>190166.35</c:v>
                </c:pt>
              </c:numCache>
            </c:numRef>
          </c:val>
          <c:extLst>
            <c:ext xmlns:c16="http://schemas.microsoft.com/office/drawing/2014/chart" uri="{C3380CC4-5D6E-409C-BE32-E72D297353CC}">
              <c16:uniqueId val="{00000000-8279-4368-9E0F-154FB55BB751}"/>
            </c:ext>
          </c:extLst>
        </c:ser>
        <c:dLbls>
          <c:showLegendKey val="0"/>
          <c:showVal val="0"/>
          <c:showCatName val="0"/>
          <c:showSerName val="0"/>
          <c:showPercent val="0"/>
          <c:showBubbleSize val="0"/>
        </c:dLbls>
        <c:gapWidth val="219"/>
        <c:overlap val="-27"/>
        <c:axId val="497591855"/>
        <c:axId val="497602415"/>
      </c:barChart>
      <c:catAx>
        <c:axId val="49759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602415"/>
        <c:crosses val="autoZero"/>
        <c:auto val="1"/>
        <c:lblAlgn val="ctr"/>
        <c:lblOffset val="100"/>
        <c:noMultiLvlLbl val="0"/>
      </c:catAx>
      <c:valAx>
        <c:axId val="497602415"/>
        <c:scaling>
          <c:orientation val="minMax"/>
        </c:scaling>
        <c:delete val="0"/>
        <c:axPos val="l"/>
        <c:numFmt formatCode="&quot;€&quot;\ #,##0.00;\-&quot;€&quot;\ #,##0.00;&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Project.xlsx]Charts!PivotTable38</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5026246719156"/>
          <c:y val="0.15175707203266259"/>
          <c:w val="0.58562751531058621"/>
          <c:h val="0.65890128317293672"/>
        </c:manualLayout>
      </c:layout>
      <c:lineChart>
        <c:grouping val="stacked"/>
        <c:varyColors val="0"/>
        <c:ser>
          <c:idx val="0"/>
          <c:order val="0"/>
          <c:tx>
            <c:strRef>
              <c:f>Charts!$C$2:$C$3</c:f>
              <c:strCache>
                <c:ptCount val="1"/>
                <c:pt idx="0">
                  <c:v>2019</c:v>
                </c:pt>
              </c:strCache>
            </c:strRef>
          </c:tx>
          <c:spPr>
            <a:ln w="28575" cap="rnd">
              <a:solidFill>
                <a:schemeClr val="accent1"/>
              </a:solidFill>
              <a:round/>
            </a:ln>
            <a:effectLst/>
          </c:spPr>
          <c:marker>
            <c:symbol val="none"/>
          </c:marker>
          <c:cat>
            <c:strRef>
              <c:f>Charts!$B$4:$B$15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Charts!$C$4:$C$15</c:f>
              <c:numCache>
                <c:formatCode>"€"\ #,##0.00;\-"€"\ #,##0.00;"€"\ #,##0.00</c:formatCode>
                <c:ptCount val="12"/>
                <c:pt idx="0">
                  <c:v>4571289.9800000004</c:v>
                </c:pt>
                <c:pt idx="1">
                  <c:v>3848144.5671000001</c:v>
                </c:pt>
                <c:pt idx="2">
                  <c:v>4021305.7800000003</c:v>
                </c:pt>
                <c:pt idx="3">
                  <c:v>4413027.9218999995</c:v>
                </c:pt>
                <c:pt idx="4">
                  <c:v>4367704.84</c:v>
                </c:pt>
                <c:pt idx="5">
                  <c:v>5612950.2104000011</c:v>
                </c:pt>
                <c:pt idx="6">
                  <c:v>4840472.8</c:v>
                </c:pt>
                <c:pt idx="7">
                  <c:v>4390216.84</c:v>
                </c:pt>
                <c:pt idx="8">
                  <c:v>6157960.7699999986</c:v>
                </c:pt>
                <c:pt idx="9">
                  <c:v>4117682.3699999992</c:v>
                </c:pt>
                <c:pt idx="10">
                  <c:v>4036842.8100000005</c:v>
                </c:pt>
                <c:pt idx="11">
                  <c:v>6204280.7400000002</c:v>
                </c:pt>
              </c:numCache>
            </c:numRef>
          </c:val>
          <c:smooth val="0"/>
          <c:extLst>
            <c:ext xmlns:c16="http://schemas.microsoft.com/office/drawing/2014/chart" uri="{C3380CC4-5D6E-409C-BE32-E72D297353CC}">
              <c16:uniqueId val="{00000000-2E17-4002-9FA2-94F322ED6408}"/>
            </c:ext>
          </c:extLst>
        </c:ser>
        <c:ser>
          <c:idx val="1"/>
          <c:order val="1"/>
          <c:tx>
            <c:strRef>
              <c:f>Charts!$D$2:$D$3</c:f>
              <c:strCache>
                <c:ptCount val="1"/>
                <c:pt idx="0">
                  <c:v>2020</c:v>
                </c:pt>
              </c:strCache>
            </c:strRef>
          </c:tx>
          <c:spPr>
            <a:ln w="28575" cap="rnd">
              <a:solidFill>
                <a:schemeClr val="accent2"/>
              </a:solidFill>
              <a:round/>
            </a:ln>
            <a:effectLst/>
          </c:spPr>
          <c:marker>
            <c:symbol val="none"/>
          </c:marker>
          <c:cat>
            <c:strRef>
              <c:f>Charts!$B$4:$B$15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Charts!$D$4:$D$15</c:f>
              <c:numCache>
                <c:formatCode>"€"\ #,##0.00;\-"€"\ #,##0.00;"€"\ #,##0.00</c:formatCode>
                <c:ptCount val="12"/>
                <c:pt idx="0">
                  <c:v>4558619.580000001</c:v>
                </c:pt>
                <c:pt idx="1">
                  <c:v>3968409.37</c:v>
                </c:pt>
                <c:pt idx="2">
                  <c:v>4123499.6399999997</c:v>
                </c:pt>
                <c:pt idx="3">
                  <c:v>5255768.6700000018</c:v>
                </c:pt>
                <c:pt idx="4">
                  <c:v>5472819.6800000006</c:v>
                </c:pt>
                <c:pt idx="5">
                  <c:v>5689890.6999999983</c:v>
                </c:pt>
                <c:pt idx="6">
                  <c:v>4653499.0680000009</c:v>
                </c:pt>
                <c:pt idx="7">
                  <c:v>4881253.290000001</c:v>
                </c:pt>
                <c:pt idx="8">
                  <c:v>4822432.59</c:v>
                </c:pt>
                <c:pt idx="9">
                  <c:v>3751915.9999999991</c:v>
                </c:pt>
                <c:pt idx="10">
                  <c:v>4408565.21</c:v>
                </c:pt>
                <c:pt idx="11">
                  <c:v>5166545.677099999</c:v>
                </c:pt>
              </c:numCache>
            </c:numRef>
          </c:val>
          <c:smooth val="0"/>
          <c:extLst>
            <c:ext xmlns:c16="http://schemas.microsoft.com/office/drawing/2014/chart" uri="{C3380CC4-5D6E-409C-BE32-E72D297353CC}">
              <c16:uniqueId val="{0000000D-7B09-4BF5-9D9B-2112E6D0A481}"/>
            </c:ext>
          </c:extLst>
        </c:ser>
        <c:dLbls>
          <c:showLegendKey val="0"/>
          <c:showVal val="0"/>
          <c:showCatName val="0"/>
          <c:showSerName val="0"/>
          <c:showPercent val="0"/>
          <c:showBubbleSize val="0"/>
        </c:dLbls>
        <c:smooth val="0"/>
        <c:axId val="2059452800"/>
        <c:axId val="2059455680"/>
      </c:lineChart>
      <c:catAx>
        <c:axId val="2059452800"/>
        <c:scaling>
          <c:orientation val="minMax"/>
        </c:scaling>
        <c:delete val="1"/>
        <c:axPos val="b"/>
        <c:numFmt formatCode="General" sourceLinked="1"/>
        <c:majorTickMark val="none"/>
        <c:minorTickMark val="none"/>
        <c:tickLblPos val="nextTo"/>
        <c:crossAx val="2059455680"/>
        <c:crosses val="autoZero"/>
        <c:auto val="1"/>
        <c:lblAlgn val="ctr"/>
        <c:lblOffset val="100"/>
        <c:noMultiLvlLbl val="0"/>
      </c:catAx>
      <c:valAx>
        <c:axId val="2059455680"/>
        <c:scaling>
          <c:orientation val="minMax"/>
        </c:scaling>
        <c:delete val="1"/>
        <c:axPos val="l"/>
        <c:numFmt formatCode="&quot;€&quot;\ #,##0.00;\-&quot;€&quot;\ #,##0.00;&quot;€&quot;\ #,##0.00" sourceLinked="1"/>
        <c:majorTickMark val="none"/>
        <c:minorTickMark val="none"/>
        <c:tickLblPos val="nextTo"/>
        <c:crossAx val="20594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Project.xlsx]Charts!PivotTable41</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252368244455888"/>
          <c:w val="0.72485567858416533"/>
          <c:h val="0.72747631755544107"/>
        </c:manualLayout>
      </c:layout>
      <c:lineChart>
        <c:grouping val="stacked"/>
        <c:varyColors val="0"/>
        <c:ser>
          <c:idx val="0"/>
          <c:order val="0"/>
          <c:tx>
            <c:strRef>
              <c:f>Charts!$C$50:$C$51</c:f>
              <c:strCache>
                <c:ptCount val="1"/>
                <c:pt idx="0">
                  <c:v>2019</c:v>
                </c:pt>
              </c:strCache>
            </c:strRef>
          </c:tx>
          <c:spPr>
            <a:ln w="28575" cap="rnd">
              <a:solidFill>
                <a:schemeClr val="accent1"/>
              </a:solidFill>
              <a:round/>
            </a:ln>
            <a:effectLst/>
          </c:spPr>
          <c:marker>
            <c:symbol val="none"/>
          </c:marker>
          <c:cat>
            <c:strRef>
              <c:f>Charts!$B$52:$B$63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Charts!$C$52:$C$63</c:f>
              <c:numCache>
                <c:formatCode>"€"\ #,##0.00;\-"€"\ #,##0.00;"€"\ #,##0.00</c:formatCode>
                <c:ptCount val="12"/>
                <c:pt idx="0">
                  <c:v>765657.30999999959</c:v>
                </c:pt>
                <c:pt idx="1">
                  <c:v>686173.87710000016</c:v>
                </c:pt>
                <c:pt idx="2">
                  <c:v>683666.98</c:v>
                </c:pt>
                <c:pt idx="3">
                  <c:v>696930.05189999845</c:v>
                </c:pt>
                <c:pt idx="4">
                  <c:v>761862.77</c:v>
                </c:pt>
                <c:pt idx="5">
                  <c:v>877540.57040000055</c:v>
                </c:pt>
                <c:pt idx="6">
                  <c:v>798487.89999999804</c:v>
                </c:pt>
                <c:pt idx="7">
                  <c:v>739654.40999999922</c:v>
                </c:pt>
                <c:pt idx="8">
                  <c:v>965758.9599999981</c:v>
                </c:pt>
                <c:pt idx="9">
                  <c:v>687589.53999999957</c:v>
                </c:pt>
                <c:pt idx="10">
                  <c:v>585902.56110000098</c:v>
                </c:pt>
                <c:pt idx="11">
                  <c:v>1101654.58</c:v>
                </c:pt>
              </c:numCache>
            </c:numRef>
          </c:val>
          <c:smooth val="0"/>
          <c:extLst>
            <c:ext xmlns:c16="http://schemas.microsoft.com/office/drawing/2014/chart" uri="{C3380CC4-5D6E-409C-BE32-E72D297353CC}">
              <c16:uniqueId val="{00000000-F478-4F08-9E47-808E65FC98D6}"/>
            </c:ext>
          </c:extLst>
        </c:ser>
        <c:ser>
          <c:idx val="1"/>
          <c:order val="1"/>
          <c:tx>
            <c:strRef>
              <c:f>Charts!$D$50:$D$51</c:f>
              <c:strCache>
                <c:ptCount val="1"/>
                <c:pt idx="0">
                  <c:v>2020</c:v>
                </c:pt>
              </c:strCache>
            </c:strRef>
          </c:tx>
          <c:spPr>
            <a:ln w="28575" cap="rnd">
              <a:solidFill>
                <a:schemeClr val="accent2"/>
              </a:solidFill>
              <a:round/>
            </a:ln>
            <a:effectLst/>
          </c:spPr>
          <c:marker>
            <c:symbol val="none"/>
          </c:marker>
          <c:cat>
            <c:strRef>
              <c:f>Charts!$B$52:$B$63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Charts!$D$52:$D$63</c:f>
              <c:numCache>
                <c:formatCode>"€"\ #,##0.00;\-"€"\ #,##0.00;"€"\ #,##0.00</c:formatCode>
                <c:ptCount val="12"/>
                <c:pt idx="0">
                  <c:v>808444.22000000067</c:v>
                </c:pt>
                <c:pt idx="1">
                  <c:v>637509.71000000043</c:v>
                </c:pt>
                <c:pt idx="2">
                  <c:v>674357.22999999905</c:v>
                </c:pt>
                <c:pt idx="3">
                  <c:v>898614.06000000145</c:v>
                </c:pt>
                <c:pt idx="4">
                  <c:v>905353.12999999989</c:v>
                </c:pt>
                <c:pt idx="5">
                  <c:v>955440.99999999721</c:v>
                </c:pt>
                <c:pt idx="6">
                  <c:v>861529.62800000096</c:v>
                </c:pt>
                <c:pt idx="7">
                  <c:v>807172.71000000043</c:v>
                </c:pt>
                <c:pt idx="8">
                  <c:v>829285.73</c:v>
                </c:pt>
                <c:pt idx="9">
                  <c:v>655510.78999999957</c:v>
                </c:pt>
                <c:pt idx="10">
                  <c:v>738544.74999999953</c:v>
                </c:pt>
                <c:pt idx="11">
                  <c:v>742392.03709999938</c:v>
                </c:pt>
              </c:numCache>
            </c:numRef>
          </c:val>
          <c:smooth val="0"/>
          <c:extLst>
            <c:ext xmlns:c16="http://schemas.microsoft.com/office/drawing/2014/chart" uri="{C3380CC4-5D6E-409C-BE32-E72D297353CC}">
              <c16:uniqueId val="{0000000D-84BC-4C1D-9B8E-F98087D20FBD}"/>
            </c:ext>
          </c:extLst>
        </c:ser>
        <c:dLbls>
          <c:showLegendKey val="0"/>
          <c:showVal val="0"/>
          <c:showCatName val="0"/>
          <c:showSerName val="0"/>
          <c:showPercent val="0"/>
          <c:showBubbleSize val="0"/>
        </c:dLbls>
        <c:smooth val="0"/>
        <c:axId val="392667871"/>
        <c:axId val="392671231"/>
      </c:lineChart>
      <c:catAx>
        <c:axId val="392667871"/>
        <c:scaling>
          <c:orientation val="minMax"/>
        </c:scaling>
        <c:delete val="1"/>
        <c:axPos val="b"/>
        <c:numFmt formatCode="General" sourceLinked="1"/>
        <c:majorTickMark val="none"/>
        <c:minorTickMark val="none"/>
        <c:tickLblPos val="nextTo"/>
        <c:crossAx val="392671231"/>
        <c:crosses val="autoZero"/>
        <c:auto val="1"/>
        <c:lblAlgn val="ctr"/>
        <c:lblOffset val="100"/>
        <c:noMultiLvlLbl val="0"/>
      </c:catAx>
      <c:valAx>
        <c:axId val="392671231"/>
        <c:scaling>
          <c:orientation val="minMax"/>
        </c:scaling>
        <c:delete val="1"/>
        <c:axPos val="l"/>
        <c:numFmt formatCode="&quot;€&quot;\ #,##0.00;\-&quot;€&quot;\ #,##0.00;&quot;€&quot;\ #,##0.00" sourceLinked="1"/>
        <c:majorTickMark val="none"/>
        <c:minorTickMark val="none"/>
        <c:tickLblPos val="nextTo"/>
        <c:crossAx val="3926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Project.xlsx]Charts!PivotTable39</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41183175251934E-2"/>
          <c:y val="0.11244530092318825"/>
          <c:w val="0.78822222222222227"/>
          <c:h val="0.84263233190271813"/>
        </c:manualLayout>
      </c:layout>
      <c:lineChart>
        <c:grouping val="stacked"/>
        <c:varyColors val="0"/>
        <c:ser>
          <c:idx val="0"/>
          <c:order val="0"/>
          <c:tx>
            <c:strRef>
              <c:f>Charts!$C$18:$C$19</c:f>
              <c:strCache>
                <c:ptCount val="1"/>
                <c:pt idx="0">
                  <c:v>2019</c:v>
                </c:pt>
              </c:strCache>
            </c:strRef>
          </c:tx>
          <c:spPr>
            <a:ln w="28575" cap="rnd">
              <a:solidFill>
                <a:schemeClr val="accent1"/>
              </a:solidFill>
              <a:round/>
            </a:ln>
            <a:effectLst/>
          </c:spPr>
          <c:marker>
            <c:symbol val="none"/>
          </c:marker>
          <c:cat>
            <c:strRef>
              <c:f>Charts!$B$20:$B$31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Charts!$C$20:$C$31</c:f>
              <c:numCache>
                <c:formatCode>General</c:formatCode>
                <c:ptCount val="12"/>
                <c:pt idx="0">
                  <c:v>45</c:v>
                </c:pt>
                <c:pt idx="1">
                  <c:v>38</c:v>
                </c:pt>
                <c:pt idx="2">
                  <c:v>46</c:v>
                </c:pt>
                <c:pt idx="3">
                  <c:v>40</c:v>
                </c:pt>
                <c:pt idx="4">
                  <c:v>38</c:v>
                </c:pt>
                <c:pt idx="5">
                  <c:v>40</c:v>
                </c:pt>
                <c:pt idx="6">
                  <c:v>34</c:v>
                </c:pt>
                <c:pt idx="7">
                  <c:v>40</c:v>
                </c:pt>
                <c:pt idx="8">
                  <c:v>55</c:v>
                </c:pt>
                <c:pt idx="9">
                  <c:v>41</c:v>
                </c:pt>
                <c:pt idx="10">
                  <c:v>38</c:v>
                </c:pt>
                <c:pt idx="11">
                  <c:v>36</c:v>
                </c:pt>
              </c:numCache>
            </c:numRef>
          </c:val>
          <c:smooth val="0"/>
          <c:extLst>
            <c:ext xmlns:c16="http://schemas.microsoft.com/office/drawing/2014/chart" uri="{C3380CC4-5D6E-409C-BE32-E72D297353CC}">
              <c16:uniqueId val="{00000000-3405-477D-AB53-A3CD0162B412}"/>
            </c:ext>
          </c:extLst>
        </c:ser>
        <c:ser>
          <c:idx val="1"/>
          <c:order val="1"/>
          <c:tx>
            <c:strRef>
              <c:f>Charts!$D$18:$D$19</c:f>
              <c:strCache>
                <c:ptCount val="1"/>
                <c:pt idx="0">
                  <c:v>2020</c:v>
                </c:pt>
              </c:strCache>
            </c:strRef>
          </c:tx>
          <c:spPr>
            <a:ln w="28575" cap="rnd">
              <a:solidFill>
                <a:schemeClr val="accent2"/>
              </a:solidFill>
              <a:round/>
            </a:ln>
            <a:effectLst/>
          </c:spPr>
          <c:marker>
            <c:symbol val="none"/>
          </c:marker>
          <c:cat>
            <c:strRef>
              <c:f>Charts!$B$20:$B$31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Charts!$D$20:$D$31</c:f>
              <c:numCache>
                <c:formatCode>General</c:formatCode>
                <c:ptCount val="12"/>
                <c:pt idx="0">
                  <c:v>45</c:v>
                </c:pt>
                <c:pt idx="1">
                  <c:v>39</c:v>
                </c:pt>
                <c:pt idx="2">
                  <c:v>43</c:v>
                </c:pt>
                <c:pt idx="3">
                  <c:v>42</c:v>
                </c:pt>
                <c:pt idx="4">
                  <c:v>54</c:v>
                </c:pt>
                <c:pt idx="5">
                  <c:v>42</c:v>
                </c:pt>
                <c:pt idx="6">
                  <c:v>39</c:v>
                </c:pt>
                <c:pt idx="7">
                  <c:v>45</c:v>
                </c:pt>
                <c:pt idx="8">
                  <c:v>42</c:v>
                </c:pt>
                <c:pt idx="9">
                  <c:v>38</c:v>
                </c:pt>
                <c:pt idx="10">
                  <c:v>41</c:v>
                </c:pt>
                <c:pt idx="11">
                  <c:v>40</c:v>
                </c:pt>
              </c:numCache>
            </c:numRef>
          </c:val>
          <c:smooth val="0"/>
          <c:extLst>
            <c:ext xmlns:c16="http://schemas.microsoft.com/office/drawing/2014/chart" uri="{C3380CC4-5D6E-409C-BE32-E72D297353CC}">
              <c16:uniqueId val="{0000000D-5AA9-4613-938C-AFADEDA5D5C7}"/>
            </c:ext>
          </c:extLst>
        </c:ser>
        <c:dLbls>
          <c:showLegendKey val="0"/>
          <c:showVal val="0"/>
          <c:showCatName val="0"/>
          <c:showSerName val="0"/>
          <c:showPercent val="0"/>
          <c:showBubbleSize val="0"/>
        </c:dLbls>
        <c:smooth val="0"/>
        <c:axId val="277123471"/>
        <c:axId val="277129231"/>
      </c:lineChart>
      <c:catAx>
        <c:axId val="277123471"/>
        <c:scaling>
          <c:orientation val="minMax"/>
        </c:scaling>
        <c:delete val="1"/>
        <c:axPos val="b"/>
        <c:numFmt formatCode="General" sourceLinked="1"/>
        <c:majorTickMark val="none"/>
        <c:minorTickMark val="none"/>
        <c:tickLblPos val="nextTo"/>
        <c:crossAx val="277129231"/>
        <c:crosses val="autoZero"/>
        <c:auto val="1"/>
        <c:lblAlgn val="ctr"/>
        <c:lblOffset val="100"/>
        <c:noMultiLvlLbl val="0"/>
      </c:catAx>
      <c:valAx>
        <c:axId val="277129231"/>
        <c:scaling>
          <c:orientation val="minMax"/>
        </c:scaling>
        <c:delete val="1"/>
        <c:axPos val="l"/>
        <c:numFmt formatCode="General" sourceLinked="1"/>
        <c:majorTickMark val="none"/>
        <c:minorTickMark val="none"/>
        <c:tickLblPos val="nextTo"/>
        <c:crossAx val="27712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Project.xlsx]Charts!PivotTable40</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Charts!$C$34:$C$35</c:f>
              <c:strCache>
                <c:ptCount val="1"/>
                <c:pt idx="0">
                  <c:v>2019</c:v>
                </c:pt>
              </c:strCache>
            </c:strRef>
          </c:tx>
          <c:spPr>
            <a:ln w="28575" cap="rnd">
              <a:solidFill>
                <a:schemeClr val="accent1"/>
              </a:solidFill>
              <a:round/>
            </a:ln>
            <a:effectLst/>
          </c:spPr>
          <c:marker>
            <c:symbol val="none"/>
          </c:marker>
          <c:cat>
            <c:strRef>
              <c:f>Charts!$B$36:$B$47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Charts!$C$36:$C$47</c:f>
              <c:numCache>
                <c:formatCode>General</c:formatCode>
                <c:ptCount val="12"/>
                <c:pt idx="0">
                  <c:v>25</c:v>
                </c:pt>
                <c:pt idx="1">
                  <c:v>22</c:v>
                </c:pt>
                <c:pt idx="2">
                  <c:v>29</c:v>
                </c:pt>
                <c:pt idx="3">
                  <c:v>25</c:v>
                </c:pt>
                <c:pt idx="4">
                  <c:v>26</c:v>
                </c:pt>
                <c:pt idx="5">
                  <c:v>27</c:v>
                </c:pt>
                <c:pt idx="6">
                  <c:v>25</c:v>
                </c:pt>
                <c:pt idx="7">
                  <c:v>29</c:v>
                </c:pt>
                <c:pt idx="8">
                  <c:v>31</c:v>
                </c:pt>
                <c:pt idx="9">
                  <c:v>28</c:v>
                </c:pt>
                <c:pt idx="10">
                  <c:v>23</c:v>
                </c:pt>
                <c:pt idx="11">
                  <c:v>24</c:v>
                </c:pt>
              </c:numCache>
            </c:numRef>
          </c:val>
          <c:smooth val="0"/>
          <c:extLst>
            <c:ext xmlns:c16="http://schemas.microsoft.com/office/drawing/2014/chart" uri="{C3380CC4-5D6E-409C-BE32-E72D297353CC}">
              <c16:uniqueId val="{00000000-A6A7-4922-B2C9-7F2398FE1EDF}"/>
            </c:ext>
          </c:extLst>
        </c:ser>
        <c:ser>
          <c:idx val="1"/>
          <c:order val="1"/>
          <c:tx>
            <c:strRef>
              <c:f>Charts!$D$34:$D$35</c:f>
              <c:strCache>
                <c:ptCount val="1"/>
                <c:pt idx="0">
                  <c:v>2020</c:v>
                </c:pt>
              </c:strCache>
            </c:strRef>
          </c:tx>
          <c:spPr>
            <a:ln w="28575" cap="rnd">
              <a:solidFill>
                <a:schemeClr val="accent2"/>
              </a:solidFill>
              <a:round/>
            </a:ln>
            <a:effectLst/>
          </c:spPr>
          <c:marker>
            <c:symbol val="none"/>
          </c:marker>
          <c:cat>
            <c:strRef>
              <c:f>Charts!$B$36:$B$47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Charts!$D$36:$D$47</c:f>
              <c:numCache>
                <c:formatCode>General</c:formatCode>
                <c:ptCount val="12"/>
                <c:pt idx="0">
                  <c:v>33</c:v>
                </c:pt>
                <c:pt idx="1">
                  <c:v>25</c:v>
                </c:pt>
                <c:pt idx="2">
                  <c:v>31</c:v>
                </c:pt>
                <c:pt idx="3">
                  <c:v>30</c:v>
                </c:pt>
                <c:pt idx="4">
                  <c:v>33</c:v>
                </c:pt>
                <c:pt idx="5">
                  <c:v>29</c:v>
                </c:pt>
                <c:pt idx="6">
                  <c:v>26</c:v>
                </c:pt>
                <c:pt idx="7">
                  <c:v>32</c:v>
                </c:pt>
                <c:pt idx="8">
                  <c:v>27</c:v>
                </c:pt>
                <c:pt idx="9">
                  <c:v>28</c:v>
                </c:pt>
                <c:pt idx="10">
                  <c:v>25</c:v>
                </c:pt>
                <c:pt idx="11">
                  <c:v>25</c:v>
                </c:pt>
              </c:numCache>
            </c:numRef>
          </c:val>
          <c:smooth val="0"/>
          <c:extLst>
            <c:ext xmlns:c16="http://schemas.microsoft.com/office/drawing/2014/chart" uri="{C3380CC4-5D6E-409C-BE32-E72D297353CC}">
              <c16:uniqueId val="{0000000D-83F9-480D-9A8C-0147A74B9B63}"/>
            </c:ext>
          </c:extLst>
        </c:ser>
        <c:dLbls>
          <c:showLegendKey val="0"/>
          <c:showVal val="0"/>
          <c:showCatName val="0"/>
          <c:showSerName val="0"/>
          <c:showPercent val="0"/>
          <c:showBubbleSize val="0"/>
        </c:dLbls>
        <c:smooth val="0"/>
        <c:axId val="392666911"/>
        <c:axId val="392684191"/>
      </c:lineChart>
      <c:catAx>
        <c:axId val="392666911"/>
        <c:scaling>
          <c:orientation val="minMax"/>
        </c:scaling>
        <c:delete val="1"/>
        <c:axPos val="b"/>
        <c:numFmt formatCode="General" sourceLinked="1"/>
        <c:majorTickMark val="none"/>
        <c:minorTickMark val="none"/>
        <c:tickLblPos val="nextTo"/>
        <c:crossAx val="392684191"/>
        <c:crosses val="autoZero"/>
        <c:auto val="1"/>
        <c:lblAlgn val="ctr"/>
        <c:lblOffset val="100"/>
        <c:noMultiLvlLbl val="0"/>
      </c:catAx>
      <c:valAx>
        <c:axId val="392684191"/>
        <c:scaling>
          <c:orientation val="minMax"/>
        </c:scaling>
        <c:delete val="1"/>
        <c:axPos val="l"/>
        <c:numFmt formatCode="General" sourceLinked="1"/>
        <c:majorTickMark val="none"/>
        <c:minorTickMark val="none"/>
        <c:tickLblPos val="nextTo"/>
        <c:crossAx val="3926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Project.xlsx]Charts!PivotTable53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663680477791589E-3"/>
              <c:y val="-6.01851851851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Charts!$R$194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AF2-4F5E-82A8-23706CEDFEC5}"/>
              </c:ext>
            </c:extLst>
          </c:dPt>
          <c:dLbls>
            <c:dLbl>
              <c:idx val="0"/>
              <c:layout>
                <c:manualLayout>
                  <c:x val="-1.8663680477791589E-3"/>
                  <c:y val="-6.01851851851853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F2-4F5E-82A8-23706CEDF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Charts!$Q$195:$Q$204</c:f>
              <c:strCache>
                <c:ptCount val="10"/>
                <c:pt idx="0">
                  <c:v>Johns and Sons</c:v>
                </c:pt>
                <c:pt idx="1">
                  <c:v>Hessel-Stiedemann</c:v>
                </c:pt>
                <c:pt idx="2">
                  <c:v>Dickinson, Hyatt and Berge</c:v>
                </c:pt>
                <c:pt idx="3">
                  <c:v>Larkin-Collier</c:v>
                </c:pt>
                <c:pt idx="4">
                  <c:v>Altenwerth-Konopelski</c:v>
                </c:pt>
                <c:pt idx="5">
                  <c:v>Swaniawski, Runolfsson and Green</c:v>
                </c:pt>
                <c:pt idx="6">
                  <c:v>Romaguera-Dietrich</c:v>
                </c:pt>
                <c:pt idx="7">
                  <c:v>Rowe, Hermiston and Kessler</c:v>
                </c:pt>
                <c:pt idx="8">
                  <c:v>Wisoky Inc</c:v>
                </c:pt>
                <c:pt idx="9">
                  <c:v>Labadie and Sons</c:v>
                </c:pt>
              </c:strCache>
            </c:strRef>
          </c:cat>
          <c:val>
            <c:numRef>
              <c:f>Charts!$R$195:$R$204</c:f>
              <c:numCache>
                <c:formatCode>"€"\ #,##0.00;\-"€"\ #,##0.00;"€"\ #,##0.00</c:formatCode>
                <c:ptCount val="10"/>
                <c:pt idx="0">
                  <c:v>16487457.757999998</c:v>
                </c:pt>
                <c:pt idx="1">
                  <c:v>6393868.6070999987</c:v>
                </c:pt>
                <c:pt idx="2">
                  <c:v>2706730.3200000003</c:v>
                </c:pt>
                <c:pt idx="3">
                  <c:v>2566549.9000000004</c:v>
                </c:pt>
                <c:pt idx="4">
                  <c:v>2524208.3399999994</c:v>
                </c:pt>
                <c:pt idx="5">
                  <c:v>2458381.8719000001</c:v>
                </c:pt>
                <c:pt idx="6">
                  <c:v>2426708.3999999994</c:v>
                </c:pt>
                <c:pt idx="7">
                  <c:v>2312524.9400000004</c:v>
                </c:pt>
                <c:pt idx="8">
                  <c:v>2277714.4299999997</c:v>
                </c:pt>
                <c:pt idx="9">
                  <c:v>2165264.9100000006</c:v>
                </c:pt>
              </c:numCache>
            </c:numRef>
          </c:val>
          <c:extLst>
            <c:ext xmlns:c16="http://schemas.microsoft.com/office/drawing/2014/chart" uri="{C3380CC4-5D6E-409C-BE32-E72D297353CC}">
              <c16:uniqueId val="{00000001-FAF2-4F5E-82A8-23706CEDFEC5}"/>
            </c:ext>
          </c:extLst>
        </c:ser>
        <c:dLbls>
          <c:dLblPos val="outEnd"/>
          <c:showLegendKey val="0"/>
          <c:showVal val="1"/>
          <c:showCatName val="0"/>
          <c:showSerName val="0"/>
          <c:showPercent val="0"/>
          <c:showBubbleSize val="0"/>
        </c:dLbls>
        <c:gapWidth val="182"/>
        <c:axId val="392682751"/>
        <c:axId val="392688511"/>
      </c:barChart>
      <c:catAx>
        <c:axId val="392682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88511"/>
        <c:crosses val="autoZero"/>
        <c:auto val="1"/>
        <c:lblAlgn val="ctr"/>
        <c:lblOffset val="100"/>
        <c:noMultiLvlLbl val="0"/>
      </c:catAx>
      <c:valAx>
        <c:axId val="392688511"/>
        <c:scaling>
          <c:orientation val="minMax"/>
        </c:scaling>
        <c:delete val="1"/>
        <c:axPos val="b"/>
        <c:numFmt formatCode="&quot;€&quot;\ #,##0.00;\-&quot;€&quot;\ #,##0.00;&quot;€&quot;\ #,##0.00" sourceLinked="1"/>
        <c:majorTickMark val="none"/>
        <c:minorTickMark val="none"/>
        <c:tickLblPos val="nextTo"/>
        <c:crossAx val="3926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Project.xlsx]Charts!PivotTable1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Charts!$R$56</c:f>
              <c:strCache>
                <c:ptCount val="1"/>
                <c:pt idx="0">
                  <c:v>Total</c:v>
                </c:pt>
              </c:strCache>
            </c:strRef>
          </c:tx>
          <c:spPr>
            <a:solidFill>
              <a:schemeClr val="accent1"/>
            </a:solidFill>
            <a:ln>
              <a:noFill/>
            </a:ln>
            <a:effectLst/>
          </c:spPr>
          <c:invertIfNegative val="0"/>
          <c:cat>
            <c:strRef>
              <c:f>Charts!$Q$57:$Q$71</c:f>
              <c:strCache>
                <c:ptCount val="15"/>
                <c:pt idx="0">
                  <c:v>Portugal</c:v>
                </c:pt>
                <c:pt idx="1">
                  <c:v>France</c:v>
                </c:pt>
                <c:pt idx="2">
                  <c:v>Sweden</c:v>
                </c:pt>
                <c:pt idx="3">
                  <c:v>UK</c:v>
                </c:pt>
                <c:pt idx="4">
                  <c:v>Ireland</c:v>
                </c:pt>
                <c:pt idx="5">
                  <c:v>Finland</c:v>
                </c:pt>
                <c:pt idx="6">
                  <c:v>Netherlands</c:v>
                </c:pt>
                <c:pt idx="7">
                  <c:v>Bulgaria</c:v>
                </c:pt>
                <c:pt idx="8">
                  <c:v>Luxembourg</c:v>
                </c:pt>
                <c:pt idx="9">
                  <c:v>Germany</c:v>
                </c:pt>
                <c:pt idx="10">
                  <c:v>Spain</c:v>
                </c:pt>
                <c:pt idx="11">
                  <c:v>Italy</c:v>
                </c:pt>
                <c:pt idx="12">
                  <c:v>Denmark</c:v>
                </c:pt>
                <c:pt idx="13">
                  <c:v>Belgium</c:v>
                </c:pt>
                <c:pt idx="14">
                  <c:v>Austria</c:v>
                </c:pt>
              </c:strCache>
            </c:strRef>
          </c:cat>
          <c:val>
            <c:numRef>
              <c:f>Charts!$R$57:$R$71</c:f>
              <c:numCache>
                <c:formatCode>"€"\ #,##0.00;\-"€"\ #,##0.00;"€"\ #,##0.00</c:formatCode>
                <c:ptCount val="15"/>
                <c:pt idx="0">
                  <c:v>4625386.7910999991</c:v>
                </c:pt>
                <c:pt idx="1">
                  <c:v>4335004.57</c:v>
                </c:pt>
                <c:pt idx="2">
                  <c:v>3245764.361899999</c:v>
                </c:pt>
                <c:pt idx="3">
                  <c:v>2116680.6670999993</c:v>
                </c:pt>
                <c:pt idx="4">
                  <c:v>829311.98999999987</c:v>
                </c:pt>
                <c:pt idx="5">
                  <c:v>781089.78710000007</c:v>
                </c:pt>
                <c:pt idx="6">
                  <c:v>652766.52800000005</c:v>
                </c:pt>
                <c:pt idx="7">
                  <c:v>605403.12</c:v>
                </c:pt>
                <c:pt idx="8">
                  <c:v>482566.46</c:v>
                </c:pt>
                <c:pt idx="9">
                  <c:v>465958.35000000009</c:v>
                </c:pt>
                <c:pt idx="10">
                  <c:v>306138.89039999997</c:v>
                </c:pt>
                <c:pt idx="11">
                  <c:v>155458.63000000003</c:v>
                </c:pt>
                <c:pt idx="12">
                  <c:v>133352.69999999998</c:v>
                </c:pt>
                <c:pt idx="13">
                  <c:v>94433.280000000013</c:v>
                </c:pt>
                <c:pt idx="14">
                  <c:v>35718.379999999997</c:v>
                </c:pt>
              </c:numCache>
            </c:numRef>
          </c:val>
          <c:extLst>
            <c:ext xmlns:c16="http://schemas.microsoft.com/office/drawing/2014/chart" uri="{C3380CC4-5D6E-409C-BE32-E72D297353CC}">
              <c16:uniqueId val="{00000000-597A-4A4D-8D2B-A983D9D42368}"/>
            </c:ext>
          </c:extLst>
        </c:ser>
        <c:dLbls>
          <c:showLegendKey val="0"/>
          <c:showVal val="0"/>
          <c:showCatName val="0"/>
          <c:showSerName val="0"/>
          <c:showPercent val="0"/>
          <c:showBubbleSize val="0"/>
        </c:dLbls>
        <c:gapWidth val="219"/>
        <c:overlap val="-27"/>
        <c:axId val="492121680"/>
        <c:axId val="492120240"/>
      </c:barChart>
      <c:catAx>
        <c:axId val="4921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20240"/>
        <c:crosses val="autoZero"/>
        <c:auto val="1"/>
        <c:lblAlgn val="ctr"/>
        <c:lblOffset val="100"/>
        <c:noMultiLvlLbl val="0"/>
      </c:catAx>
      <c:valAx>
        <c:axId val="492120240"/>
        <c:scaling>
          <c:orientation val="minMax"/>
        </c:scaling>
        <c:delete val="0"/>
        <c:axPos val="l"/>
        <c:numFmt formatCode="&quot;€&quot;\ #,##0.00;\-&quot;€&quot;\ #,##0.00;&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2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170329</xdr:colOff>
      <xdr:row>3</xdr:row>
      <xdr:rowOff>99060</xdr:rowOff>
    </xdr:from>
    <xdr:to>
      <xdr:col>12</xdr:col>
      <xdr:colOff>53340</xdr:colOff>
      <xdr:row>12</xdr:row>
      <xdr:rowOff>152400</xdr:rowOff>
    </xdr:to>
    <xdr:graphicFrame macro="">
      <xdr:nvGraphicFramePr>
        <xdr:cNvPr id="2" name="Chart 1">
          <a:extLst>
            <a:ext uri="{FF2B5EF4-FFF2-40B4-BE49-F238E27FC236}">
              <a16:creationId xmlns:a16="http://schemas.microsoft.com/office/drawing/2014/main" id="{07E93CEE-374A-78D2-31CA-92AE0B7FD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18</xdr:row>
      <xdr:rowOff>144780</xdr:rowOff>
    </xdr:from>
    <xdr:to>
      <xdr:col>11</xdr:col>
      <xdr:colOff>472440</xdr:colOff>
      <xdr:row>28</xdr:row>
      <xdr:rowOff>91440</xdr:rowOff>
    </xdr:to>
    <xdr:graphicFrame macro="">
      <xdr:nvGraphicFramePr>
        <xdr:cNvPr id="3" name="Chart 2">
          <a:extLst>
            <a:ext uri="{FF2B5EF4-FFF2-40B4-BE49-F238E27FC236}">
              <a16:creationId xmlns:a16="http://schemas.microsoft.com/office/drawing/2014/main" id="{B7E4D66B-C163-F0A8-7EFD-A8DC38F95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220980</xdr:colOff>
      <xdr:row>34</xdr:row>
      <xdr:rowOff>99060</xdr:rowOff>
    </xdr:from>
    <xdr:to>
      <xdr:col>11</xdr:col>
      <xdr:colOff>525780</xdr:colOff>
      <xdr:row>43</xdr:row>
      <xdr:rowOff>137160</xdr:rowOff>
    </xdr:to>
    <xdr:graphicFrame macro="">
      <xdr:nvGraphicFramePr>
        <xdr:cNvPr id="4" name="Chart 3">
          <a:extLst>
            <a:ext uri="{FF2B5EF4-FFF2-40B4-BE49-F238E27FC236}">
              <a16:creationId xmlns:a16="http://schemas.microsoft.com/office/drawing/2014/main" id="{9E69C867-D3BD-65DE-39DA-746CB8AB8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52</xdr:row>
      <xdr:rowOff>15240</xdr:rowOff>
    </xdr:from>
    <xdr:to>
      <xdr:col>11</xdr:col>
      <xdr:colOff>495300</xdr:colOff>
      <xdr:row>61</xdr:row>
      <xdr:rowOff>99060</xdr:rowOff>
    </xdr:to>
    <xdr:graphicFrame macro="">
      <xdr:nvGraphicFramePr>
        <xdr:cNvPr id="5" name="Chart 4">
          <a:extLst>
            <a:ext uri="{FF2B5EF4-FFF2-40B4-BE49-F238E27FC236}">
              <a16:creationId xmlns:a16="http://schemas.microsoft.com/office/drawing/2014/main" id="{6634FBAE-BCC5-FE00-69EF-A68D8677C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255046</xdr:colOff>
      <xdr:row>1</xdr:row>
      <xdr:rowOff>66787</xdr:rowOff>
    </xdr:from>
    <xdr:to>
      <xdr:col>33</xdr:col>
      <xdr:colOff>147470</xdr:colOff>
      <xdr:row>16</xdr:row>
      <xdr:rowOff>66787</xdr:rowOff>
    </xdr:to>
    <xdr:graphicFrame macro="">
      <xdr:nvGraphicFramePr>
        <xdr:cNvPr id="7" name="Chart 6">
          <a:extLst>
            <a:ext uri="{FF2B5EF4-FFF2-40B4-BE49-F238E27FC236}">
              <a16:creationId xmlns:a16="http://schemas.microsoft.com/office/drawing/2014/main" id="{7A9D5C6C-2E05-282D-9D2E-50B9CB56E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354105</xdr:colOff>
      <xdr:row>19</xdr:row>
      <xdr:rowOff>5827</xdr:rowOff>
    </xdr:from>
    <xdr:to>
      <xdr:col>35</xdr:col>
      <xdr:colOff>277009</xdr:colOff>
      <xdr:row>33</xdr:row>
      <xdr:rowOff>131781</xdr:rowOff>
    </xdr:to>
    <xdr:graphicFrame macro="">
      <xdr:nvGraphicFramePr>
        <xdr:cNvPr id="8" name="Chart 7">
          <a:extLst>
            <a:ext uri="{FF2B5EF4-FFF2-40B4-BE49-F238E27FC236}">
              <a16:creationId xmlns:a16="http://schemas.microsoft.com/office/drawing/2014/main" id="{71A67895-8941-A93C-80EB-551E99610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15687</xdr:colOff>
      <xdr:row>55</xdr:row>
      <xdr:rowOff>62305</xdr:rowOff>
    </xdr:from>
    <xdr:to>
      <xdr:col>38</xdr:col>
      <xdr:colOff>121471</xdr:colOff>
      <xdr:row>70</xdr:row>
      <xdr:rowOff>62305</xdr:rowOff>
    </xdr:to>
    <xdr:graphicFrame macro="">
      <xdr:nvGraphicFramePr>
        <xdr:cNvPr id="11" name="Chart 10">
          <a:extLst>
            <a:ext uri="{FF2B5EF4-FFF2-40B4-BE49-F238E27FC236}">
              <a16:creationId xmlns:a16="http://schemas.microsoft.com/office/drawing/2014/main" id="{247BAE38-F77E-9807-CE3E-0CA31BF31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288215</xdr:colOff>
      <xdr:row>72</xdr:row>
      <xdr:rowOff>23756</xdr:rowOff>
    </xdr:from>
    <xdr:to>
      <xdr:col>35</xdr:col>
      <xdr:colOff>180639</xdr:colOff>
      <xdr:row>87</xdr:row>
      <xdr:rowOff>23756</xdr:rowOff>
    </xdr:to>
    <xdr:graphicFrame macro="">
      <xdr:nvGraphicFramePr>
        <xdr:cNvPr id="12" name="Chart 11">
          <a:extLst>
            <a:ext uri="{FF2B5EF4-FFF2-40B4-BE49-F238E27FC236}">
              <a16:creationId xmlns:a16="http://schemas.microsoft.com/office/drawing/2014/main" id="{8F07CDCB-1C06-E4F1-1B91-4A692EC14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447339</xdr:colOff>
      <xdr:row>88</xdr:row>
      <xdr:rowOff>50650</xdr:rowOff>
    </xdr:from>
    <xdr:to>
      <xdr:col>35</xdr:col>
      <xdr:colOff>339763</xdr:colOff>
      <xdr:row>103</xdr:row>
      <xdr:rowOff>50650</xdr:rowOff>
    </xdr:to>
    <xdr:graphicFrame macro="">
      <xdr:nvGraphicFramePr>
        <xdr:cNvPr id="13" name="Chart 12">
          <a:extLst>
            <a:ext uri="{FF2B5EF4-FFF2-40B4-BE49-F238E27FC236}">
              <a16:creationId xmlns:a16="http://schemas.microsoft.com/office/drawing/2014/main" id="{135BC4DB-F9E3-586A-32B9-8A2655216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456303</xdr:colOff>
      <xdr:row>125</xdr:row>
      <xdr:rowOff>64546</xdr:rowOff>
    </xdr:from>
    <xdr:to>
      <xdr:col>35</xdr:col>
      <xdr:colOff>348727</xdr:colOff>
      <xdr:row>140</xdr:row>
      <xdr:rowOff>64547</xdr:rowOff>
    </xdr:to>
    <xdr:graphicFrame macro="">
      <xdr:nvGraphicFramePr>
        <xdr:cNvPr id="15" name="Chart 14">
          <a:extLst>
            <a:ext uri="{FF2B5EF4-FFF2-40B4-BE49-F238E27FC236}">
              <a16:creationId xmlns:a16="http://schemas.microsoft.com/office/drawing/2014/main" id="{CAA3DB21-6B0F-FE84-7146-E80C3AC03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306144</xdr:colOff>
      <xdr:row>143</xdr:row>
      <xdr:rowOff>88302</xdr:rowOff>
    </xdr:from>
    <xdr:to>
      <xdr:col>36</xdr:col>
      <xdr:colOff>198568</xdr:colOff>
      <xdr:row>158</xdr:row>
      <xdr:rowOff>88302</xdr:rowOff>
    </xdr:to>
    <xdr:graphicFrame macro="">
      <xdr:nvGraphicFramePr>
        <xdr:cNvPr id="16" name="Chart 15">
          <a:extLst>
            <a:ext uri="{FF2B5EF4-FFF2-40B4-BE49-F238E27FC236}">
              <a16:creationId xmlns:a16="http://schemas.microsoft.com/office/drawing/2014/main" id="{70978C7C-B81F-27C9-1457-0A4DA857B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238013</xdr:colOff>
      <xdr:row>161</xdr:row>
      <xdr:rowOff>104888</xdr:rowOff>
    </xdr:from>
    <xdr:to>
      <xdr:col>37</xdr:col>
      <xdr:colOff>9413</xdr:colOff>
      <xdr:row>176</xdr:row>
      <xdr:rowOff>104888</xdr:rowOff>
    </xdr:to>
    <xdr:graphicFrame macro="">
      <xdr:nvGraphicFramePr>
        <xdr:cNvPr id="17" name="Chart 16">
          <a:extLst>
            <a:ext uri="{FF2B5EF4-FFF2-40B4-BE49-F238E27FC236}">
              <a16:creationId xmlns:a16="http://schemas.microsoft.com/office/drawing/2014/main" id="{662178B3-EBE9-7D4F-2E0B-60BBB28C0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188706</xdr:colOff>
      <xdr:row>178</xdr:row>
      <xdr:rowOff>7620</xdr:rowOff>
    </xdr:from>
    <xdr:to>
      <xdr:col>35</xdr:col>
      <xdr:colOff>317350</xdr:colOff>
      <xdr:row>193</xdr:row>
      <xdr:rowOff>7620</xdr:rowOff>
    </xdr:to>
    <xdr:graphicFrame macro="">
      <xdr:nvGraphicFramePr>
        <xdr:cNvPr id="18" name="Chart 17">
          <a:extLst>
            <a:ext uri="{FF2B5EF4-FFF2-40B4-BE49-F238E27FC236}">
              <a16:creationId xmlns:a16="http://schemas.microsoft.com/office/drawing/2014/main" id="{F2A3AD6F-0B76-903F-B9E5-59ADAE0A9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8965</xdr:colOff>
      <xdr:row>106</xdr:row>
      <xdr:rowOff>98611</xdr:rowOff>
    </xdr:from>
    <xdr:to>
      <xdr:col>35</xdr:col>
      <xdr:colOff>510989</xdr:colOff>
      <xdr:row>121</xdr:row>
      <xdr:rowOff>98611</xdr:rowOff>
    </xdr:to>
    <xdr:graphicFrame macro="">
      <xdr:nvGraphicFramePr>
        <xdr:cNvPr id="19" name="Chart 18">
          <a:extLst>
            <a:ext uri="{FF2B5EF4-FFF2-40B4-BE49-F238E27FC236}">
              <a16:creationId xmlns:a16="http://schemas.microsoft.com/office/drawing/2014/main" id="{BFD2E1DF-75A8-405B-B81D-A23F4462F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331695</xdr:colOff>
      <xdr:row>36</xdr:row>
      <xdr:rowOff>161366</xdr:rowOff>
    </xdr:from>
    <xdr:to>
      <xdr:col>35</xdr:col>
      <xdr:colOff>448235</xdr:colOff>
      <xdr:row>52</xdr:row>
      <xdr:rowOff>35860</xdr:rowOff>
    </xdr:to>
    <xdr:graphicFrame macro="">
      <xdr:nvGraphicFramePr>
        <xdr:cNvPr id="6" name="Chart 5">
          <a:extLst>
            <a:ext uri="{FF2B5EF4-FFF2-40B4-BE49-F238E27FC236}">
              <a16:creationId xmlns:a16="http://schemas.microsoft.com/office/drawing/2014/main" id="{566B304E-6D1C-93F9-3C8E-494E4FD43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44</xdr:col>
      <xdr:colOff>110836</xdr:colOff>
      <xdr:row>76</xdr:row>
      <xdr:rowOff>152400</xdr:rowOff>
    </xdr:to>
    <xdr:sp macro="" textlink="">
      <xdr:nvSpPr>
        <xdr:cNvPr id="2" name="Rectangle 1">
          <a:extLst>
            <a:ext uri="{FF2B5EF4-FFF2-40B4-BE49-F238E27FC236}">
              <a16:creationId xmlns:a16="http://schemas.microsoft.com/office/drawing/2014/main" id="{3A21D98C-4C41-45EF-E573-944B590D9F3F}"/>
            </a:ext>
          </a:extLst>
        </xdr:cNvPr>
        <xdr:cNvSpPr/>
      </xdr:nvSpPr>
      <xdr:spPr>
        <a:xfrm>
          <a:off x="0" y="0"/>
          <a:ext cx="27293454" cy="13840691"/>
        </a:xfrm>
        <a:prstGeom prst="rect">
          <a:avLst/>
        </a:prstGeom>
        <a:solidFill>
          <a:schemeClr val="bg2">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13855</xdr:colOff>
      <xdr:row>0</xdr:row>
      <xdr:rowOff>0</xdr:rowOff>
    </xdr:from>
    <xdr:to>
      <xdr:col>44</xdr:col>
      <xdr:colOff>96982</xdr:colOff>
      <xdr:row>4</xdr:row>
      <xdr:rowOff>8964</xdr:rowOff>
    </xdr:to>
    <xdr:sp macro="" textlink="">
      <xdr:nvSpPr>
        <xdr:cNvPr id="3" name="Rectangle 2">
          <a:extLst>
            <a:ext uri="{FF2B5EF4-FFF2-40B4-BE49-F238E27FC236}">
              <a16:creationId xmlns:a16="http://schemas.microsoft.com/office/drawing/2014/main" id="{818E15F0-D800-0D7F-20A8-C1DC42EA91BD}"/>
            </a:ext>
          </a:extLst>
        </xdr:cNvPr>
        <xdr:cNvSpPr/>
      </xdr:nvSpPr>
      <xdr:spPr>
        <a:xfrm>
          <a:off x="13855" y="0"/>
          <a:ext cx="27265745" cy="72940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u="none">
              <a:solidFill>
                <a:schemeClr val="accent4">
                  <a:lumMod val="60000"/>
                  <a:lumOff val="40000"/>
                </a:schemeClr>
              </a:solidFill>
            </a:rPr>
            <a:t>Sales</a:t>
          </a:r>
          <a:r>
            <a:rPr lang="en-US" sz="3600" b="1" u="none" baseline="0">
              <a:solidFill>
                <a:schemeClr val="accent4">
                  <a:lumMod val="60000"/>
                  <a:lumOff val="40000"/>
                </a:schemeClr>
              </a:solidFill>
            </a:rPr>
            <a:t> </a:t>
          </a:r>
          <a:r>
            <a:rPr lang="en-US" sz="4400" b="1" u="none" baseline="0">
              <a:solidFill>
                <a:schemeClr val="accent4">
                  <a:lumMod val="60000"/>
                  <a:lumOff val="40000"/>
                </a:schemeClr>
              </a:solidFill>
            </a:rPr>
            <a:t>Dashboard</a:t>
          </a:r>
          <a:endParaRPr lang="en-US" sz="3600" b="1" u="none">
            <a:solidFill>
              <a:schemeClr val="accent4">
                <a:lumMod val="60000"/>
                <a:lumOff val="40000"/>
              </a:schemeClr>
            </a:solidFill>
          </a:endParaRPr>
        </a:p>
      </xdr:txBody>
    </xdr:sp>
    <xdr:clientData/>
  </xdr:twoCellAnchor>
  <xdr:oneCellAnchor>
    <xdr:from>
      <xdr:col>4</xdr:col>
      <xdr:colOff>591671</xdr:colOff>
      <xdr:row>8</xdr:row>
      <xdr:rowOff>107576</xdr:rowOff>
    </xdr:from>
    <xdr:ext cx="184731" cy="311496"/>
    <xdr:sp macro="" textlink="">
      <xdr:nvSpPr>
        <xdr:cNvPr id="25" name="TextBox 24">
          <a:extLst>
            <a:ext uri="{FF2B5EF4-FFF2-40B4-BE49-F238E27FC236}">
              <a16:creationId xmlns:a16="http://schemas.microsoft.com/office/drawing/2014/main" id="{91730590-FB30-A447-6F59-73EF6D75CED2}"/>
            </a:ext>
          </a:extLst>
        </xdr:cNvPr>
        <xdr:cNvSpPr txBox="1"/>
      </xdr:nvSpPr>
      <xdr:spPr>
        <a:xfrm>
          <a:off x="3030071" y="1631576"/>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400"/>
        </a:p>
      </xdr:txBody>
    </xdr:sp>
    <xdr:clientData/>
  </xdr:oneCellAnchor>
  <xdr:twoCellAnchor>
    <xdr:from>
      <xdr:col>0</xdr:col>
      <xdr:colOff>0</xdr:colOff>
      <xdr:row>20</xdr:row>
      <xdr:rowOff>55416</xdr:rowOff>
    </xdr:from>
    <xdr:to>
      <xdr:col>8</xdr:col>
      <xdr:colOff>429490</xdr:colOff>
      <xdr:row>36</xdr:row>
      <xdr:rowOff>124689</xdr:rowOff>
    </xdr:to>
    <xdr:graphicFrame macro="">
      <xdr:nvGraphicFramePr>
        <xdr:cNvPr id="29" name="Chart 28">
          <a:extLst>
            <a:ext uri="{FF2B5EF4-FFF2-40B4-BE49-F238E27FC236}">
              <a16:creationId xmlns:a16="http://schemas.microsoft.com/office/drawing/2014/main" id="{0DE63EA7-A065-426D-9FFC-A2758CE1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41564</xdr:colOff>
      <xdr:row>4</xdr:row>
      <xdr:rowOff>96981</xdr:rowOff>
    </xdr:from>
    <xdr:to>
      <xdr:col>8</xdr:col>
      <xdr:colOff>415636</xdr:colOff>
      <xdr:row>20</xdr:row>
      <xdr:rowOff>13853</xdr:rowOff>
    </xdr:to>
    <xdr:graphicFrame macro="">
      <xdr:nvGraphicFramePr>
        <xdr:cNvPr id="56" name="Chart 55">
          <a:extLst>
            <a:ext uri="{FF2B5EF4-FFF2-40B4-BE49-F238E27FC236}">
              <a16:creationId xmlns:a16="http://schemas.microsoft.com/office/drawing/2014/main" id="{5E4409BA-CBC3-486C-8686-7BE8A5F4A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39832</xdr:colOff>
      <xdr:row>36</xdr:row>
      <xdr:rowOff>166256</xdr:rowOff>
    </xdr:from>
    <xdr:to>
      <xdr:col>8</xdr:col>
      <xdr:colOff>457199</xdr:colOff>
      <xdr:row>56</xdr:row>
      <xdr:rowOff>166254</xdr:rowOff>
    </xdr:to>
    <xdr:graphicFrame macro="">
      <xdr:nvGraphicFramePr>
        <xdr:cNvPr id="58" name="Chart 57">
          <a:extLst>
            <a:ext uri="{FF2B5EF4-FFF2-40B4-BE49-F238E27FC236}">
              <a16:creationId xmlns:a16="http://schemas.microsoft.com/office/drawing/2014/main" id="{4E52EBC4-EDC5-49D2-98BC-61EC36842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42430</xdr:colOff>
      <xdr:row>56</xdr:row>
      <xdr:rowOff>180107</xdr:rowOff>
    </xdr:from>
    <xdr:to>
      <xdr:col>8</xdr:col>
      <xdr:colOff>471055</xdr:colOff>
      <xdr:row>74</xdr:row>
      <xdr:rowOff>124688</xdr:rowOff>
    </xdr:to>
    <xdr:graphicFrame macro="">
      <xdr:nvGraphicFramePr>
        <xdr:cNvPr id="59" name="Chart 58">
          <a:extLst>
            <a:ext uri="{FF2B5EF4-FFF2-40B4-BE49-F238E27FC236}">
              <a16:creationId xmlns:a16="http://schemas.microsoft.com/office/drawing/2014/main" id="{51EC0864-C53C-4494-9B88-D3D440575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498763</xdr:colOff>
      <xdr:row>42</xdr:row>
      <xdr:rowOff>55417</xdr:rowOff>
    </xdr:from>
    <xdr:to>
      <xdr:col>42</xdr:col>
      <xdr:colOff>526472</xdr:colOff>
      <xdr:row>58</xdr:row>
      <xdr:rowOff>83121</xdr:rowOff>
    </xdr:to>
    <xdr:graphicFrame macro="">
      <xdr:nvGraphicFramePr>
        <xdr:cNvPr id="60" name="Chart 59">
          <a:extLst>
            <a:ext uri="{FF2B5EF4-FFF2-40B4-BE49-F238E27FC236}">
              <a16:creationId xmlns:a16="http://schemas.microsoft.com/office/drawing/2014/main" id="{2C9FFDC2-8E83-4254-AF0A-16DE71ADE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498764</xdr:colOff>
      <xdr:row>58</xdr:row>
      <xdr:rowOff>110837</xdr:rowOff>
    </xdr:from>
    <xdr:to>
      <xdr:col>42</xdr:col>
      <xdr:colOff>512617</xdr:colOff>
      <xdr:row>73</xdr:row>
      <xdr:rowOff>143741</xdr:rowOff>
    </xdr:to>
    <xdr:graphicFrame macro="">
      <xdr:nvGraphicFramePr>
        <xdr:cNvPr id="61" name="Chart 60">
          <a:extLst>
            <a:ext uri="{FF2B5EF4-FFF2-40B4-BE49-F238E27FC236}">
              <a16:creationId xmlns:a16="http://schemas.microsoft.com/office/drawing/2014/main" id="{8DFB7F2B-0B02-4AC7-BAC0-B3A340B6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332510</xdr:colOff>
      <xdr:row>4</xdr:row>
      <xdr:rowOff>69274</xdr:rowOff>
    </xdr:from>
    <xdr:to>
      <xdr:col>43</xdr:col>
      <xdr:colOff>13858</xdr:colOff>
      <xdr:row>42</xdr:row>
      <xdr:rowOff>69273</xdr:rowOff>
    </xdr:to>
    <xdr:sp macro="" textlink="">
      <xdr:nvSpPr>
        <xdr:cNvPr id="4" name="Rectangle 3">
          <a:extLst>
            <a:ext uri="{FF2B5EF4-FFF2-40B4-BE49-F238E27FC236}">
              <a16:creationId xmlns:a16="http://schemas.microsoft.com/office/drawing/2014/main" id="{DCEDEC7A-DC4C-6296-9B90-E2CBBB05D173}"/>
            </a:ext>
          </a:extLst>
        </xdr:cNvPr>
        <xdr:cNvSpPr/>
      </xdr:nvSpPr>
      <xdr:spPr>
        <a:xfrm>
          <a:off x="22638328" y="789710"/>
          <a:ext cx="3948548" cy="684414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Slicers</a:t>
          </a:r>
        </a:p>
      </xdr:txBody>
    </xdr:sp>
    <xdr:clientData/>
  </xdr:twoCellAnchor>
  <xdr:twoCellAnchor>
    <xdr:from>
      <xdr:col>9</xdr:col>
      <xdr:colOff>83346</xdr:colOff>
      <xdr:row>4</xdr:row>
      <xdr:rowOff>124703</xdr:rowOff>
    </xdr:from>
    <xdr:to>
      <xdr:col>14</xdr:col>
      <xdr:colOff>166473</xdr:colOff>
      <xdr:row>11</xdr:row>
      <xdr:rowOff>41564</xdr:rowOff>
    </xdr:to>
    <xdr:sp macro="" textlink="">
      <xdr:nvSpPr>
        <xdr:cNvPr id="5" name="Rectangle 4">
          <a:extLst>
            <a:ext uri="{FF2B5EF4-FFF2-40B4-BE49-F238E27FC236}">
              <a16:creationId xmlns:a16="http://schemas.microsoft.com/office/drawing/2014/main" id="{A697C439-40D0-F21E-38B3-82C0B296F7F1}"/>
            </a:ext>
          </a:extLst>
        </xdr:cNvPr>
        <xdr:cNvSpPr/>
      </xdr:nvSpPr>
      <xdr:spPr>
        <a:xfrm>
          <a:off x="5569746" y="845139"/>
          <a:ext cx="3131127" cy="1177625"/>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 Sales</a:t>
          </a:r>
        </a:p>
      </xdr:txBody>
    </xdr:sp>
    <xdr:clientData/>
  </xdr:twoCellAnchor>
  <xdr:twoCellAnchor>
    <xdr:from>
      <xdr:col>15</xdr:col>
      <xdr:colOff>448254</xdr:colOff>
      <xdr:row>4</xdr:row>
      <xdr:rowOff>96995</xdr:rowOff>
    </xdr:from>
    <xdr:to>
      <xdr:col>20</xdr:col>
      <xdr:colOff>531381</xdr:colOff>
      <xdr:row>11</xdr:row>
      <xdr:rowOff>41565</xdr:rowOff>
    </xdr:to>
    <xdr:sp macro="" textlink="">
      <xdr:nvSpPr>
        <xdr:cNvPr id="7" name="Rectangle 6">
          <a:extLst>
            <a:ext uri="{FF2B5EF4-FFF2-40B4-BE49-F238E27FC236}">
              <a16:creationId xmlns:a16="http://schemas.microsoft.com/office/drawing/2014/main" id="{2B05F7E8-7ED9-4C1D-977C-FEAD21F4A2A3}"/>
            </a:ext>
          </a:extLst>
        </xdr:cNvPr>
        <xdr:cNvSpPr/>
      </xdr:nvSpPr>
      <xdr:spPr>
        <a:xfrm>
          <a:off x="9592254" y="817431"/>
          <a:ext cx="3491345" cy="120533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Profit</a:t>
          </a:r>
          <a:endParaRPr lang="en-US" sz="2400" b="1">
            <a:solidFill>
              <a:schemeClr val="tx1"/>
            </a:solidFill>
          </a:endParaRPr>
        </a:p>
      </xdr:txBody>
    </xdr:sp>
    <xdr:clientData/>
  </xdr:twoCellAnchor>
  <xdr:twoCellAnchor>
    <xdr:from>
      <xdr:col>0</xdr:col>
      <xdr:colOff>13422</xdr:colOff>
      <xdr:row>5</xdr:row>
      <xdr:rowOff>41564</xdr:rowOff>
    </xdr:from>
    <xdr:to>
      <xdr:col>0</xdr:col>
      <xdr:colOff>13422</xdr:colOff>
      <xdr:row>11</xdr:row>
      <xdr:rowOff>83127</xdr:rowOff>
    </xdr:to>
    <xdr:sp macro="" textlink="">
      <xdr:nvSpPr>
        <xdr:cNvPr id="8" name="Rectangle 7">
          <a:extLst>
            <a:ext uri="{FF2B5EF4-FFF2-40B4-BE49-F238E27FC236}">
              <a16:creationId xmlns:a16="http://schemas.microsoft.com/office/drawing/2014/main" id="{8500EE62-E8F2-4CA4-AE10-7A73EBD19D3F}"/>
            </a:ext>
          </a:extLst>
        </xdr:cNvPr>
        <xdr:cNvSpPr/>
      </xdr:nvSpPr>
      <xdr:spPr>
        <a:xfrm>
          <a:off x="13422" y="942109"/>
          <a:ext cx="0" cy="112221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203562</xdr:colOff>
      <xdr:row>4</xdr:row>
      <xdr:rowOff>124703</xdr:rowOff>
    </xdr:from>
    <xdr:to>
      <xdr:col>27</xdr:col>
      <xdr:colOff>286689</xdr:colOff>
      <xdr:row>11</xdr:row>
      <xdr:rowOff>55418</xdr:rowOff>
    </xdr:to>
    <xdr:sp macro="" textlink="">
      <xdr:nvSpPr>
        <xdr:cNvPr id="9" name="Rectangle 8">
          <a:extLst>
            <a:ext uri="{FF2B5EF4-FFF2-40B4-BE49-F238E27FC236}">
              <a16:creationId xmlns:a16="http://schemas.microsoft.com/office/drawing/2014/main" id="{1B5D8083-A296-4608-A467-476C22BDCF9D}"/>
            </a:ext>
          </a:extLst>
        </xdr:cNvPr>
        <xdr:cNvSpPr/>
      </xdr:nvSpPr>
      <xdr:spPr>
        <a:xfrm>
          <a:off x="13974980" y="845139"/>
          <a:ext cx="3131127" cy="1191479"/>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Orders</a:t>
          </a:r>
          <a:endParaRPr lang="en-US" sz="2400" b="1">
            <a:solidFill>
              <a:schemeClr val="tx1"/>
            </a:solidFill>
          </a:endParaRPr>
        </a:p>
      </xdr:txBody>
    </xdr:sp>
    <xdr:clientData/>
  </xdr:twoCellAnchor>
  <xdr:twoCellAnchor>
    <xdr:from>
      <xdr:col>8</xdr:col>
      <xdr:colOff>540327</xdr:colOff>
      <xdr:row>56</xdr:row>
      <xdr:rowOff>0</xdr:rowOff>
    </xdr:from>
    <xdr:to>
      <xdr:col>26</xdr:col>
      <xdr:colOff>457199</xdr:colOff>
      <xdr:row>73</xdr:row>
      <xdr:rowOff>180104</xdr:rowOff>
    </xdr:to>
    <xdr:graphicFrame macro="">
      <xdr:nvGraphicFramePr>
        <xdr:cNvPr id="11" name="Chart 10">
          <a:extLst>
            <a:ext uri="{FF2B5EF4-FFF2-40B4-BE49-F238E27FC236}">
              <a16:creationId xmlns:a16="http://schemas.microsoft.com/office/drawing/2014/main" id="{409FBB7E-E937-48B9-9D4A-BA1F23D20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526472</xdr:colOff>
      <xdr:row>18</xdr:row>
      <xdr:rowOff>110817</xdr:rowOff>
    </xdr:from>
    <xdr:to>
      <xdr:col>26</xdr:col>
      <xdr:colOff>443346</xdr:colOff>
      <xdr:row>36</xdr:row>
      <xdr:rowOff>96982</xdr:rowOff>
    </xdr:to>
    <xdr:graphicFrame macro="">
      <xdr:nvGraphicFramePr>
        <xdr:cNvPr id="14" name="Chart 13">
          <a:extLst>
            <a:ext uri="{FF2B5EF4-FFF2-40B4-BE49-F238E27FC236}">
              <a16:creationId xmlns:a16="http://schemas.microsoft.com/office/drawing/2014/main" id="{CF39BB92-CA17-40BD-BEC5-25155700D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568470</xdr:colOff>
      <xdr:row>4</xdr:row>
      <xdr:rowOff>124702</xdr:rowOff>
    </xdr:from>
    <xdr:to>
      <xdr:col>34</xdr:col>
      <xdr:colOff>41997</xdr:colOff>
      <xdr:row>11</xdr:row>
      <xdr:rowOff>27709</xdr:rowOff>
    </xdr:to>
    <xdr:sp macro="" textlink="">
      <xdr:nvSpPr>
        <xdr:cNvPr id="16" name="Rectangle 15">
          <a:extLst>
            <a:ext uri="{FF2B5EF4-FFF2-40B4-BE49-F238E27FC236}">
              <a16:creationId xmlns:a16="http://schemas.microsoft.com/office/drawing/2014/main" id="{05C3E295-B581-44B4-B22D-7CC1EBB6DA4A}"/>
            </a:ext>
          </a:extLst>
        </xdr:cNvPr>
        <xdr:cNvSpPr/>
      </xdr:nvSpPr>
      <xdr:spPr>
        <a:xfrm>
          <a:off x="17997488" y="845138"/>
          <a:ext cx="3131127" cy="1163771"/>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 Customers</a:t>
          </a:r>
        </a:p>
      </xdr:txBody>
    </xdr:sp>
    <xdr:clientData/>
  </xdr:twoCellAnchor>
  <xdr:twoCellAnchor>
    <xdr:from>
      <xdr:col>8</xdr:col>
      <xdr:colOff>476387</xdr:colOff>
      <xdr:row>12</xdr:row>
      <xdr:rowOff>13860</xdr:rowOff>
    </xdr:from>
    <xdr:to>
      <xdr:col>13</xdr:col>
      <xdr:colOff>604705</xdr:colOff>
      <xdr:row>18</xdr:row>
      <xdr:rowOff>83127</xdr:rowOff>
    </xdr:to>
    <xdr:graphicFrame macro="">
      <xdr:nvGraphicFramePr>
        <xdr:cNvPr id="31" name="Chart 30">
          <a:extLst>
            <a:ext uri="{FF2B5EF4-FFF2-40B4-BE49-F238E27FC236}">
              <a16:creationId xmlns:a16="http://schemas.microsoft.com/office/drawing/2014/main" id="{780F49C7-E3B7-4ADA-A14C-54BE04281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83125</xdr:colOff>
      <xdr:row>11</xdr:row>
      <xdr:rowOff>110835</xdr:rowOff>
    </xdr:from>
    <xdr:to>
      <xdr:col>21</xdr:col>
      <xdr:colOff>180107</xdr:colOff>
      <xdr:row>17</xdr:row>
      <xdr:rowOff>152399</xdr:rowOff>
    </xdr:to>
    <xdr:graphicFrame macro="">
      <xdr:nvGraphicFramePr>
        <xdr:cNvPr id="33" name="Chart 32">
          <a:extLst>
            <a:ext uri="{FF2B5EF4-FFF2-40B4-BE49-F238E27FC236}">
              <a16:creationId xmlns:a16="http://schemas.microsoft.com/office/drawing/2014/main" id="{F766A2BB-4A3E-4202-AEB4-CE9C10626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235527</xdr:colOff>
      <xdr:row>11</xdr:row>
      <xdr:rowOff>110836</xdr:rowOff>
    </xdr:from>
    <xdr:to>
      <xdr:col>27</xdr:col>
      <xdr:colOff>374071</xdr:colOff>
      <xdr:row>18</xdr:row>
      <xdr:rowOff>0</xdr:rowOff>
    </xdr:to>
    <xdr:graphicFrame macro="">
      <xdr:nvGraphicFramePr>
        <xdr:cNvPr id="34" name="Chart 33">
          <a:extLst>
            <a:ext uri="{FF2B5EF4-FFF2-40B4-BE49-F238E27FC236}">
              <a16:creationId xmlns:a16="http://schemas.microsoft.com/office/drawing/2014/main" id="{12CCE13C-1377-4D94-B2C0-8316925CD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484910</xdr:colOff>
      <xdr:row>11</xdr:row>
      <xdr:rowOff>166253</xdr:rowOff>
    </xdr:from>
    <xdr:to>
      <xdr:col>33</xdr:col>
      <xdr:colOff>609599</xdr:colOff>
      <xdr:row>18</xdr:row>
      <xdr:rowOff>96980</xdr:rowOff>
    </xdr:to>
    <xdr:graphicFrame macro="">
      <xdr:nvGraphicFramePr>
        <xdr:cNvPr id="35" name="Chart 34">
          <a:extLst>
            <a:ext uri="{FF2B5EF4-FFF2-40B4-BE49-F238E27FC236}">
              <a16:creationId xmlns:a16="http://schemas.microsoft.com/office/drawing/2014/main" id="{2CA15748-4AE2-4606-9887-9C82CE64B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39</xdr:col>
      <xdr:colOff>349138</xdr:colOff>
      <xdr:row>22</xdr:row>
      <xdr:rowOff>32558</xdr:rowOff>
    </xdr:from>
    <xdr:to>
      <xdr:col>42</xdr:col>
      <xdr:colOff>349138</xdr:colOff>
      <xdr:row>36</xdr:row>
      <xdr:rowOff>92306</xdr:rowOff>
    </xdr:to>
    <mc:AlternateContent xmlns:mc="http://schemas.openxmlformats.org/markup-compatibility/2006" xmlns:a14="http://schemas.microsoft.com/office/drawing/2010/main">
      <mc:Choice Requires="a14">
        <xdr:graphicFrame macro="">
          <xdr:nvGraphicFramePr>
            <xdr:cNvPr id="39" name="country">
              <a:extLst>
                <a:ext uri="{FF2B5EF4-FFF2-40B4-BE49-F238E27FC236}">
                  <a16:creationId xmlns:a16="http://schemas.microsoft.com/office/drawing/2014/main" id="{57C3EAE9-5AB5-815F-2474-19557DBC19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483756" y="399495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358143</xdr:colOff>
      <xdr:row>22</xdr:row>
      <xdr:rowOff>27711</xdr:rowOff>
    </xdr:from>
    <xdr:to>
      <xdr:col>39</xdr:col>
      <xdr:colOff>358143</xdr:colOff>
      <xdr:row>36</xdr:row>
      <xdr:rowOff>55420</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1F6829CA-D4CF-D607-DC3A-9DC856B638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663961" y="3990111"/>
              <a:ext cx="1828800" cy="2549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367149</xdr:colOff>
      <xdr:row>8</xdr:row>
      <xdr:rowOff>22859</xdr:rowOff>
    </xdr:from>
    <xdr:to>
      <xdr:col>42</xdr:col>
      <xdr:colOff>367149</xdr:colOff>
      <xdr:row>22</xdr:row>
      <xdr:rowOff>27709</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204A2998-E842-4FAF-422C-BAAF282FC77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4501767" y="1463732"/>
              <a:ext cx="1828800" cy="2526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362300</xdr:colOff>
      <xdr:row>8</xdr:row>
      <xdr:rowOff>18012</xdr:rowOff>
    </xdr:from>
    <xdr:to>
      <xdr:col>39</xdr:col>
      <xdr:colOff>362300</xdr:colOff>
      <xdr:row>13</xdr:row>
      <xdr:rowOff>83129</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88CCA355-9458-C655-9A30-9375C03C5D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2668118" y="1458885"/>
              <a:ext cx="1828800" cy="965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357452</xdr:colOff>
      <xdr:row>36</xdr:row>
      <xdr:rowOff>69275</xdr:rowOff>
    </xdr:from>
    <xdr:to>
      <xdr:col>42</xdr:col>
      <xdr:colOff>357452</xdr:colOff>
      <xdr:row>41</xdr:row>
      <xdr:rowOff>166257</xdr:rowOff>
    </xdr:to>
    <mc:AlternateContent xmlns:mc="http://schemas.openxmlformats.org/markup-compatibility/2006" xmlns:a14="http://schemas.microsoft.com/office/drawing/2010/main">
      <mc:Choice Requires="a14">
        <xdr:graphicFrame macro="">
          <xdr:nvGraphicFramePr>
            <xdr:cNvPr id="43" name="device_type">
              <a:extLst>
                <a:ext uri="{FF2B5EF4-FFF2-40B4-BE49-F238E27FC236}">
                  <a16:creationId xmlns:a16="http://schemas.microsoft.com/office/drawing/2014/main" id="{671BAC7A-3104-FEBD-2D1F-3FCBA1606757}"/>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24492070" y="6553202"/>
              <a:ext cx="1828800" cy="997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352601</xdr:colOff>
      <xdr:row>13</xdr:row>
      <xdr:rowOff>133007</xdr:rowOff>
    </xdr:from>
    <xdr:to>
      <xdr:col>39</xdr:col>
      <xdr:colOff>352601</xdr:colOff>
      <xdr:row>22</xdr:row>
      <xdr:rowOff>13857</xdr:rowOff>
    </xdr:to>
    <mc:AlternateContent xmlns:mc="http://schemas.openxmlformats.org/markup-compatibility/2006" xmlns:a14="http://schemas.microsoft.com/office/drawing/2010/main">
      <mc:Choice Requires="a14">
        <xdr:graphicFrame macro="">
          <xdr:nvGraphicFramePr>
            <xdr:cNvPr id="44" name="Season">
              <a:extLst>
                <a:ext uri="{FF2B5EF4-FFF2-40B4-BE49-F238E27FC236}">
                  <a16:creationId xmlns:a16="http://schemas.microsoft.com/office/drawing/2014/main" id="{130A5F65-2E01-2733-C80B-E513D10351B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2658419" y="2474425"/>
              <a:ext cx="1828800" cy="1501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361608</xdr:colOff>
      <xdr:row>36</xdr:row>
      <xdr:rowOff>110146</xdr:rowOff>
    </xdr:from>
    <xdr:to>
      <xdr:col>39</xdr:col>
      <xdr:colOff>361608</xdr:colOff>
      <xdr:row>42</xdr:row>
      <xdr:rowOff>27711</xdr:rowOff>
    </xdr:to>
    <mc:AlternateContent xmlns:mc="http://schemas.openxmlformats.org/markup-compatibility/2006" xmlns:a14="http://schemas.microsoft.com/office/drawing/2010/main">
      <mc:Choice Requires="a14">
        <xdr:graphicFrame macro="">
          <xdr:nvGraphicFramePr>
            <xdr:cNvPr id="45" name="sales_manager">
              <a:extLst>
                <a:ext uri="{FF2B5EF4-FFF2-40B4-BE49-F238E27FC236}">
                  <a16:creationId xmlns:a16="http://schemas.microsoft.com/office/drawing/2014/main" id="{3164D711-E657-83C0-0CAF-9C6DF7CB9195}"/>
                </a:ext>
              </a:extLst>
            </xdr:cNvPr>
            <xdr:cNvGraphicFramePr/>
          </xdr:nvGraphicFramePr>
          <xdr:xfrm>
            <a:off x="0" y="0"/>
            <a:ext cx="0" cy="0"/>
          </xdr:xfrm>
          <a:graphic>
            <a:graphicData uri="http://schemas.microsoft.com/office/drawing/2010/slicer">
              <sle:slicer xmlns:sle="http://schemas.microsoft.com/office/drawing/2010/slicer" name="sales_manager"/>
            </a:graphicData>
          </a:graphic>
        </xdr:graphicFrame>
      </mc:Choice>
      <mc:Fallback xmlns="">
        <xdr:sp macro="" textlink="">
          <xdr:nvSpPr>
            <xdr:cNvPr id="0" name=""/>
            <xdr:cNvSpPr>
              <a:spLocks noTextEdit="1"/>
            </xdr:cNvSpPr>
          </xdr:nvSpPr>
          <xdr:spPr>
            <a:xfrm>
              <a:off x="22667426" y="6594073"/>
              <a:ext cx="182880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498765</xdr:colOff>
      <xdr:row>18</xdr:row>
      <xdr:rowOff>152400</xdr:rowOff>
    </xdr:from>
    <xdr:to>
      <xdr:col>36</xdr:col>
      <xdr:colOff>290946</xdr:colOff>
      <xdr:row>42</xdr:row>
      <xdr:rowOff>13854</xdr:rowOff>
    </xdr:to>
    <xdr:graphicFrame macro="">
      <xdr:nvGraphicFramePr>
        <xdr:cNvPr id="47" name="Chart 46">
          <a:extLst>
            <a:ext uri="{FF2B5EF4-FFF2-40B4-BE49-F238E27FC236}">
              <a16:creationId xmlns:a16="http://schemas.microsoft.com/office/drawing/2014/main" id="{D3EDCEBB-7C51-4F9A-9333-AD05C4204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9</xdr:col>
      <xdr:colOff>581891</xdr:colOff>
      <xdr:row>9</xdr:row>
      <xdr:rowOff>69273</xdr:rowOff>
    </xdr:from>
    <xdr:ext cx="817417" cy="387931"/>
    <xdr:sp macro="" textlink="">
      <xdr:nvSpPr>
        <xdr:cNvPr id="71" name="TextBox 70">
          <a:extLst>
            <a:ext uri="{FF2B5EF4-FFF2-40B4-BE49-F238E27FC236}">
              <a16:creationId xmlns:a16="http://schemas.microsoft.com/office/drawing/2014/main" id="{6FD022C7-78DA-D2BB-443D-9955F927D096}"/>
            </a:ext>
          </a:extLst>
        </xdr:cNvPr>
        <xdr:cNvSpPr txBox="1"/>
      </xdr:nvSpPr>
      <xdr:spPr>
        <a:xfrm>
          <a:off x="6068291" y="1690255"/>
          <a:ext cx="817417" cy="387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800" b="1"/>
        </a:p>
      </xdr:txBody>
    </xdr:sp>
    <xdr:clientData/>
  </xdr:oneCellAnchor>
  <xdr:oneCellAnchor>
    <xdr:from>
      <xdr:col>9</xdr:col>
      <xdr:colOff>387931</xdr:colOff>
      <xdr:row>7</xdr:row>
      <xdr:rowOff>41563</xdr:rowOff>
    </xdr:from>
    <xdr:ext cx="2452252" cy="401782"/>
    <xdr:sp macro="" textlink="Pivots!R5">
      <xdr:nvSpPr>
        <xdr:cNvPr id="85" name="TextBox 84">
          <a:extLst>
            <a:ext uri="{FF2B5EF4-FFF2-40B4-BE49-F238E27FC236}">
              <a16:creationId xmlns:a16="http://schemas.microsoft.com/office/drawing/2014/main" id="{DE687A31-F303-4DC2-24DF-CA4167D528EA}"/>
            </a:ext>
          </a:extLst>
        </xdr:cNvPr>
        <xdr:cNvSpPr txBox="1"/>
      </xdr:nvSpPr>
      <xdr:spPr>
        <a:xfrm>
          <a:off x="5874331" y="1302327"/>
          <a:ext cx="2452252" cy="401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E003428-D39E-4278-9A75-23B9D9A900E6}" type="TxLink">
            <a:rPr lang="en-US" sz="2400" b="0" i="0" u="none" strike="noStrike">
              <a:solidFill>
                <a:srgbClr val="000000"/>
              </a:solidFill>
              <a:effectLst/>
              <a:latin typeface="Aptos Narrow"/>
            </a:rPr>
            <a:pPr algn="ctr"/>
            <a:t>€ 113,335,099.10</a:t>
          </a:fld>
          <a:endParaRPr lang="en-US" sz="2400"/>
        </a:p>
      </xdr:txBody>
    </xdr:sp>
    <xdr:clientData/>
  </xdr:oneCellAnchor>
  <xdr:oneCellAnchor>
    <xdr:from>
      <xdr:col>16</xdr:col>
      <xdr:colOff>568035</xdr:colOff>
      <xdr:row>7</xdr:row>
      <xdr:rowOff>13854</xdr:rowOff>
    </xdr:from>
    <xdr:ext cx="2660074" cy="468013"/>
    <xdr:sp macro="" textlink="Pivots!N5">
      <xdr:nvSpPr>
        <xdr:cNvPr id="86" name="TextBox 85">
          <a:extLst>
            <a:ext uri="{FF2B5EF4-FFF2-40B4-BE49-F238E27FC236}">
              <a16:creationId xmlns:a16="http://schemas.microsoft.com/office/drawing/2014/main" id="{953F94A4-3D0F-6080-7D9A-48946A184B3D}"/>
            </a:ext>
          </a:extLst>
        </xdr:cNvPr>
        <xdr:cNvSpPr txBox="1"/>
      </xdr:nvSpPr>
      <xdr:spPr>
        <a:xfrm>
          <a:off x="10321635" y="1274618"/>
          <a:ext cx="26600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67C8ACC-D05A-41DF-A9B9-D22304685132}" type="TxLink">
            <a:rPr lang="en-US" sz="2400" b="0" i="0" u="none" strike="noStrike">
              <a:solidFill>
                <a:srgbClr val="000000"/>
              </a:solidFill>
              <a:effectLst/>
              <a:latin typeface="Aptos Narrow"/>
            </a:rPr>
            <a:pPr/>
            <a:t>€ 18,865,034.51</a:t>
          </a:fld>
          <a:endParaRPr lang="en-US" sz="2400"/>
        </a:p>
      </xdr:txBody>
    </xdr:sp>
    <xdr:clientData/>
  </xdr:oneCellAnchor>
  <xdr:oneCellAnchor>
    <xdr:from>
      <xdr:col>24</xdr:col>
      <xdr:colOff>138546</xdr:colOff>
      <xdr:row>7</xdr:row>
      <xdr:rowOff>41564</xdr:rowOff>
    </xdr:from>
    <xdr:ext cx="1051178" cy="468013"/>
    <xdr:sp macro="" textlink="Pivots!P5">
      <xdr:nvSpPr>
        <xdr:cNvPr id="87" name="TextBox 86">
          <a:extLst>
            <a:ext uri="{FF2B5EF4-FFF2-40B4-BE49-F238E27FC236}">
              <a16:creationId xmlns:a16="http://schemas.microsoft.com/office/drawing/2014/main" id="{3EF16144-E24D-270F-376A-39DE3225DFD2}"/>
            </a:ext>
          </a:extLst>
        </xdr:cNvPr>
        <xdr:cNvSpPr txBox="1"/>
      </xdr:nvSpPr>
      <xdr:spPr>
        <a:xfrm>
          <a:off x="15129164" y="1302328"/>
          <a:ext cx="105117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B9A8BFC-D5EC-47CE-B539-0AAF4B71A015}" type="TxLink">
            <a:rPr lang="en-US" sz="2400" b="0" i="0" u="none" strike="noStrike">
              <a:solidFill>
                <a:srgbClr val="000000"/>
              </a:solidFill>
              <a:effectLst/>
              <a:latin typeface="Aptos Narrow"/>
            </a:rPr>
            <a:pPr/>
            <a:t>1001</a:t>
          </a:fld>
          <a:endParaRPr lang="en-US" sz="2400"/>
        </a:p>
      </xdr:txBody>
    </xdr:sp>
    <xdr:clientData/>
  </xdr:oneCellAnchor>
  <xdr:oneCellAnchor>
    <xdr:from>
      <xdr:col>31</xdr:col>
      <xdr:colOff>13855</xdr:colOff>
      <xdr:row>7</xdr:row>
      <xdr:rowOff>83127</xdr:rowOff>
    </xdr:from>
    <xdr:ext cx="784855" cy="443345"/>
    <xdr:sp macro="" textlink="Pivots!Q5">
      <xdr:nvSpPr>
        <xdr:cNvPr id="88" name="TextBox 87">
          <a:extLst>
            <a:ext uri="{FF2B5EF4-FFF2-40B4-BE49-F238E27FC236}">
              <a16:creationId xmlns:a16="http://schemas.microsoft.com/office/drawing/2014/main" id="{ECF9DD89-EDA1-10F2-1070-B154FAB268CF}"/>
            </a:ext>
          </a:extLst>
        </xdr:cNvPr>
        <xdr:cNvSpPr txBox="1"/>
      </xdr:nvSpPr>
      <xdr:spPr>
        <a:xfrm>
          <a:off x="19271673" y="1343891"/>
          <a:ext cx="784855" cy="443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7EC9E2F-D2F0-4B17-877E-E67423900CDD}" type="TxLink">
            <a:rPr lang="en-US" sz="2400" b="0" i="0" u="none" strike="noStrike">
              <a:solidFill>
                <a:srgbClr val="000000"/>
              </a:solidFill>
              <a:latin typeface="Aptos Narrow"/>
            </a:rPr>
            <a:pPr/>
            <a:t>75</a:t>
          </a:fld>
          <a:endParaRPr lang="en-US" sz="2400"/>
        </a:p>
      </xdr:txBody>
    </xdr:sp>
    <xdr:clientData/>
  </xdr:oneCellAnchor>
  <xdr:twoCellAnchor>
    <xdr:from>
      <xdr:col>8</xdr:col>
      <xdr:colOff>526473</xdr:colOff>
      <xdr:row>36</xdr:row>
      <xdr:rowOff>138546</xdr:rowOff>
    </xdr:from>
    <xdr:to>
      <xdr:col>26</xdr:col>
      <xdr:colOff>443346</xdr:colOff>
      <xdr:row>55</xdr:row>
      <xdr:rowOff>166255</xdr:rowOff>
    </xdr:to>
    <xdr:graphicFrame macro="">
      <xdr:nvGraphicFramePr>
        <xdr:cNvPr id="6" name="Chart 5">
          <a:extLst>
            <a:ext uri="{FF2B5EF4-FFF2-40B4-BE49-F238E27FC236}">
              <a16:creationId xmlns:a16="http://schemas.microsoft.com/office/drawing/2014/main" id="{322FE5BC-920F-47A3-AC4F-65576BE51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185185" backgroundQuery="1" createdVersion="8" refreshedVersion="8" minRefreshableVersion="3" recordCount="0" supportSubquery="1" supportAdvancedDrill="1" xr:uid="{EE982358-00CC-4DB0-8505-18F3E2717BEF}">
  <cacheSource type="external" connectionId="4"/>
  <cacheFields count="3">
    <cacheField name="[Measures].[Total Sales]" caption="Total Sales" numFmtId="0" hierarchy="25" level="32767"/>
    <cacheField name="[Sales_data_Cleaned].[date (Month)].[date (Month)]" caption="date (Month)" numFmtId="0" hierarchy="16" level="1">
      <sharedItems count="12">
        <s v="Jan"/>
        <s v="Feb"/>
        <s v="Mar"/>
        <s v="Apr"/>
        <s v="May"/>
        <s v="Jun"/>
        <s v="Jul"/>
        <s v="Aug"/>
        <s v="Sep"/>
        <s v="Oct"/>
        <s v="Nov"/>
        <s v="Dec"/>
      </sharedItems>
    </cacheField>
    <cacheField name="[Sales_data_Cleaned].[date (Year)].[date (Year)]" caption="date (Year)" numFmtId="0" hierarchy="14" level="1">
      <sharedItems count="2">
        <s v="2019"/>
        <s v="2020"/>
      </sharedItems>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2"/>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0"/>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2430558" backgroundQuery="1" createdVersion="8" refreshedVersion="8" minRefreshableVersion="3" recordCount="0" supportSubquery="1" supportAdvancedDrill="1" xr:uid="{E1A8F650-FD7A-4497-9456-75D9FCDA2E51}">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Orders Count]" caption="Orders Count" numFmtId="0" hierarchy="30"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oneField="1">
      <fieldsUsage count="1">
        <fieldUsage x="2"/>
      </fieldsUsage>
    </cacheHierarchy>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3240743" backgroundQuery="1" createdVersion="8" refreshedVersion="8" minRefreshableVersion="3" recordCount="0" supportSubquery="1" supportAdvancedDrill="1" xr:uid="{7ACCE07C-4465-463E-B1D2-3935DA37FB81}">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Total Customers]" caption="Total Customers" numFmtId="0" hierarchy="32"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oneField="1">
      <fieldsUsage count="1">
        <fieldUsage x="2"/>
      </fieldsUsage>
    </cacheHierarchy>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3703705" backgroundQuery="1" createdVersion="8" refreshedVersion="8" minRefreshableVersion="3" recordCount="0" supportSubquery="1" supportAdvancedDrill="1" xr:uid="{EF16CCDA-732D-4DFD-877C-0C7B7BA92F32}">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Total profit]" caption="Total profit" numFmtId="0" hierarchy="27"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2"/>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451389" backgroundQuery="1" createdVersion="8" refreshedVersion="8" minRefreshableVersion="3" recordCount="0" supportSubquery="1" supportAdvancedDrill="1" xr:uid="{F56A1315-67AD-43D6-BEB6-A143C0C0BE61}">
  <cacheSource type="external" connectionId="4"/>
  <cacheFields count="6">
    <cacheField name="[Measures].[Total profit]" caption="Total profit" numFmtId="0" hierarchy="27" level="32767"/>
    <cacheField name="[Measures].[Profit Margin%]" caption="Profit Margin%" numFmtId="0" hierarchy="28" level="32767"/>
    <cacheField name="[Measures].[Orders Count]" caption="Orders Count" numFmtId="0" hierarchy="30" level="32767"/>
    <cacheField name="[Measures].[Total Customers]" caption="Total Customers" numFmtId="0" hierarchy="32" level="32767"/>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5"/>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4"/>
      </fieldsUsage>
    </cacheHierarchy>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0"/>
      </fieldsUsage>
    </cacheHierarchy>
    <cacheHierarchy uniqueName="[Measures].[Profit Margin%]" caption="Profit Margin%" measure="1" displayFolder="" measureGroup="Sales_data_Cleaned" count="0" oneField="1">
      <fieldsUsage count="1">
        <fieldUsage x="1"/>
      </fieldsUsage>
    </cacheHierarchy>
    <cacheHierarchy uniqueName="[Measures].[Average Order Value]" caption="Average Order Value" measure="1" displayFolder="" measureGroup="Sales_data_Cleaned" count="0"/>
    <cacheHierarchy uniqueName="[Measures].[Orders Count]" caption="Orders Count" measure="1" displayFolder="" measureGroup="Sales_data_Cleaned" count="0" oneField="1">
      <fieldsUsage count="1">
        <fieldUsage x="2"/>
      </fieldsUsage>
    </cacheHierarchy>
    <cacheHierarchy uniqueName="[Measures].[Sales per Customer]" caption="Sales per Customer" measure="1" displayFolder="" measureGroup="Sales_data_Cleaned" count="0"/>
    <cacheHierarchy uniqueName="[Measures].[Total Customers]" caption="Total Customers" measure="1" displayFolder="" measureGroup="Sales_data_Cleaned" count="0" oneField="1">
      <fieldsUsage count="1">
        <fieldUsage x="3"/>
      </fieldsUsage>
    </cacheHierarchy>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4976852" backgroundQuery="1" createdVersion="8" refreshedVersion="8" minRefreshableVersion="3" recordCount="0" supportSubquery="1" supportAdvancedDrill="1" xr:uid="{E74AC33B-AA12-4007-BD6A-A4F664FA2CE5}">
  <cacheSource type="external" connectionId="4"/>
  <cacheFields count="3">
    <cacheField name="[Measures].[Total Sales]" caption="Total Sales" numFmtId="0" hierarchy="25" level="32767"/>
    <cacheField name="[Sales_data_Cleaned].[Season].[Season]" caption="Season" numFmtId="0" hierarchy="18" level="1">
      <sharedItems count="4">
        <s v="Autumn"/>
        <s v="Spring"/>
        <s v="Summer"/>
        <s v="Winter"/>
      </sharedItems>
    </cacheField>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fieldsUsage count="2">
        <fieldUsage x="-1"/>
        <fieldUsage x="1"/>
      </fieldsUsage>
    </cacheHierarchy>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0"/>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5555552" backgroundQuery="1" createdVersion="8" refreshedVersion="8" minRefreshableVersion="3" recordCount="0" supportSubquery="1" supportAdvancedDrill="1" xr:uid="{ACD3F34E-DA54-4098-B71B-7B98BC6F4AC1}">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0"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6249999" backgroundQuery="1" createdVersion="8" refreshedVersion="8" minRefreshableVersion="3" recordCount="0" supportSubquery="1" supportAdvancedDrill="1" xr:uid="{2B33CCC1-7EEB-4185-9863-B4DE372C2861}">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Average Order Value]" caption="Average Order Value" numFmtId="0" hierarchy="29"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oneField="1">
      <fieldsUsage count="1">
        <fieldUsage x="1"/>
      </fieldsUsage>
    </cacheHierarchy>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6828707" backgroundQuery="1" createdVersion="8" refreshedVersion="8" minRefreshableVersion="3" recordCount="0" supportSubquery="1" supportAdvancedDrill="1" xr:uid="{32F4EA9F-A66B-46C5-98DC-F103E8425180}">
  <cacheSource type="external" connectionId="4"/>
  <cacheFields count="3">
    <cacheField name="[Sales_data_Cleaned].[category].[category]" caption="category" numFmtId="0" hierarchy="4" level="1">
      <sharedItems count="10">
        <s v="Accessories"/>
        <s v="Appliances"/>
        <s v="Beauty"/>
        <s v="Books"/>
        <s v="Clothing"/>
        <s v="Electronics"/>
        <s v="Games"/>
        <s v="Other"/>
        <s v="Outdoors"/>
        <s v="Smartphones"/>
      </sharedItems>
    </cacheField>
    <cacheField name="[Measures].[Total profit]" caption="Total profit" numFmtId="0" hierarchy="27"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fieldsUsage count="2">
        <fieldUsage x="-1"/>
        <fieldUsage x="0"/>
      </fieldsUsage>
    </cacheHierarchy>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1"/>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7407407" backgroundQuery="1" createdVersion="8" refreshedVersion="8" minRefreshableVersion="3" recordCount="0" supportSubquery="1" supportAdvancedDrill="1" xr:uid="{AD6D8758-573C-4DB0-97AF-4C4C637ABF8C}">
  <cacheSource type="external" connectionId="4"/>
  <cacheFields count="3">
    <cacheField name="[Sales_data_Cleaned].[category].[category]" caption="category" numFmtId="0" hierarchy="4" level="1">
      <sharedItems count="10">
        <s v="Accessories"/>
        <s v="Appliances"/>
        <s v="Beauty"/>
        <s v="Books"/>
        <s v="Clothing"/>
        <s v="Electronics"/>
        <s v="Games"/>
        <s v="Other"/>
        <s v="Outdoors"/>
        <s v="Smartphones"/>
      </sharedItems>
    </cacheField>
    <cacheField name="[Measures].[Profit Margin%]" caption="Profit Margin%" numFmtId="0" hierarchy="28"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fieldsUsage count="2">
        <fieldUsage x="-1"/>
        <fieldUsage x="0"/>
      </fieldsUsage>
    </cacheHierarchy>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oneField="1">
      <fieldsUsage count="1">
        <fieldUsage x="1"/>
      </fieldsUsage>
    </cacheHierarchy>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8101854" backgroundQuery="1" createdVersion="8" refreshedVersion="8" minRefreshableVersion="3" recordCount="0" supportSubquery="1" supportAdvancedDrill="1" xr:uid="{E2D9BE13-449F-4DB2-9146-A0FA376AE490}">
  <cacheSource type="external" connectionId="4"/>
  <cacheFields count="3">
    <cacheField name="[Sales_data_Cleaned].[device_type].[device_type]" caption="device_type" numFmtId="0" hierarchy="8" level="1">
      <sharedItems count="4">
        <s v="Mobile"/>
        <s v="PC"/>
        <s v="Tablet"/>
        <s v="Unidentified"/>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fieldsUsage count="2">
        <fieldUsage x="-1"/>
        <fieldUsage x="0"/>
      </fieldsUsage>
    </cacheHierarchy>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8564816" backgroundQuery="1" createdVersion="8" refreshedVersion="8" minRefreshableVersion="3" recordCount="0" supportSubquery="1" supportAdvancedDrill="1" xr:uid="{9FB63270-2A8B-4D27-9B67-FE1A43E7DA2C}">
  <cacheSource type="external" connectionId="4"/>
  <cacheFields count="3">
    <cacheField name="[Sales_data_Cleaned].[device_type].[device_type]" caption="device_type" numFmtId="0" hierarchy="8" level="1">
      <sharedItems count="4">
        <s v="Mobile"/>
        <s v="PC"/>
        <s v="Tablet"/>
        <s v="Unidentified"/>
      </sharedItems>
    </cacheField>
    <cacheField name="[Measures].[Total profit]" caption="Total profit" numFmtId="0" hierarchy="27"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fieldsUsage count="2">
        <fieldUsage x="-1"/>
        <fieldUsage x="0"/>
      </fieldsUsage>
    </cacheHierarchy>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1"/>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09143516" backgroundQuery="1" createdVersion="8" refreshedVersion="8" minRefreshableVersion="3" recordCount="0" supportSubquery="1" supportAdvancedDrill="1" xr:uid="{EF5D86D5-14FD-4EF2-B559-98854DCA4E86}">
  <cacheSource type="external" connectionId="4"/>
  <cacheFields count="3">
    <cacheField name="[Sales_data_Cleaned].[sales_manager].[sales_manager]" caption="sales_manager" numFmtId="0" hierarchy="6" level="1">
      <sharedItems count="15">
        <s v="Celine Tumasian"/>
        <s v="Charil Alpe"/>
        <s v="Denice Amberg"/>
        <s v="Emalia Dinse"/>
        <s v="Glenine Suttaby"/>
        <s v="Hube Corey"/>
        <s v="Ilsa Kob"/>
        <s v="Jessamine Apark"/>
        <s v="Lambert Norheny"/>
        <s v="Maxie Marrow"/>
        <s v="Modestia Byfford"/>
        <s v="Orsa Geekin"/>
        <s v="Othello Bowes"/>
        <s v="Piggy Roscrigg"/>
        <s v="Rickard Doogood"/>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fieldsUsage count="2">
        <fieldUsage x="-1"/>
        <fieldUsage x="0"/>
      </fieldsUsage>
    </cacheHierarchy>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0"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0069447" backgroundQuery="1" createdVersion="8" refreshedVersion="8" minRefreshableVersion="3" recordCount="0" supportSubquery="1" supportAdvancedDrill="1" xr:uid="{48EF7560-1413-4C32-8A08-320DFBD0F967}">
  <cacheSource type="external" connectionId="4"/>
  <cacheFields count="3">
    <cacheField name="[Sales_data_Cleaned].[sales_rep].[sales_rep]" caption="sales_rep" numFmtId="0" hierarchy="7" level="1">
      <sharedItems count="5">
        <s v="Amelina Piscopiello"/>
        <s v="Aurelie Wren"/>
        <s v="Corene Shirer"/>
        <s v="Hortense Gerring"/>
        <s v="Ora Grennan"/>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2" memberValueDatatype="130" unbalanced="0">
      <fieldsUsage count="2">
        <fieldUsage x="-1"/>
        <fieldUsage x="0"/>
      </fieldsUsage>
    </cacheHierarchy>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0648148" backgroundQuery="1" createdVersion="8" refreshedVersion="8" minRefreshableVersion="3" recordCount="0" supportSubquery="1" supportAdvancedDrill="1" xr:uid="{6161F094-E4C8-49DC-A64F-910FF81301C8}">
  <cacheSource type="external" connectionId="4"/>
  <cacheFields count="3">
    <cacheField name="[Sales_data_Cleaned].[customer_name].[customer_name]" caption="customer_name" numFmtId="0" hierarchy="5" level="1">
      <sharedItems count="11">
        <s v="Altenwerth-Konopelski"/>
        <s v="Dickinson, Hyatt and Berge"/>
        <s v="Hessel-Stiedemann"/>
        <s v="Johns and Sons"/>
        <s v="Labadie and Sons"/>
        <s v="Larkin-Collier"/>
        <s v="Romaguera-Dietrich"/>
        <s v="Rowe, Hermiston and Kessler"/>
        <s v="Swaniawski, Runolfsson and Green"/>
        <s v="Wisoky Inc"/>
        <s v="Walter LLC" u="1"/>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2" memberValueDatatype="130" unbalanced="0">
      <fieldsUsage count="2">
        <fieldUsage x="-1"/>
        <fieldUsage x="0"/>
      </fieldsUsage>
    </cacheHierarchy>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1342594" backgroundQuery="1" createdVersion="8" refreshedVersion="8" minRefreshableVersion="3" recordCount="0" supportSubquery="1" supportAdvancedDrill="1" xr:uid="{F8186984-8C8A-403A-8141-DB526EB17D41}">
  <cacheSource type="external" connectionId="4"/>
  <cacheFields count="3">
    <cacheField name="[Measures].[Total Sales]" caption="Total Sales" numFmtId="0" hierarchy="25" level="32767"/>
    <cacheField name="[Sales_data_Cleaned].[date (Month)].[date (Month)]" caption="date (Month)" numFmtId="0" hierarchy="16" level="1">
      <sharedItems count="12">
        <s v="Jan"/>
        <s v="Feb"/>
        <s v="Mar"/>
        <s v="Apr"/>
        <s v="May"/>
        <s v="Jun"/>
        <s v="Jul"/>
        <s v="Aug"/>
        <s v="Sep"/>
        <s v="Oct"/>
        <s v="Nov"/>
        <s v="Dec"/>
      </sharedItems>
    </cacheField>
    <cacheField name="[Sales_data_Cleaned].[date (Year)].[date (Year)]" caption="date (Year)" numFmtId="0" hierarchy="14" level="1">
      <sharedItems count="2">
        <s v="2019"/>
        <s v="2020"/>
      </sharedItems>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2"/>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0"/>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1689817" backgroundQuery="1" createdVersion="8" refreshedVersion="8" minRefreshableVersion="3" recordCount="0" supportSubquery="1" supportAdvancedDrill="1" xr:uid="{7554FE36-83CB-45AD-8A78-033D35733300}">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Sum of Profit]" caption="Sum of Profit" numFmtId="0" hierarchy="23"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oneField="1">
      <fieldsUsage count="1">
        <fieldUsage x="1"/>
      </fieldsUsage>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2037033" backgroundQuery="1" createdVersion="8" refreshedVersion="8" minRefreshableVersion="3" recordCount="0" supportSubquery="1" supportAdvancedDrill="1" xr:uid="{1469FD53-4EE1-40BD-BF67-103E3F49F5A0}">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Orders Count]" caption="Orders Count" numFmtId="0" hierarchy="30"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oneField="1">
      <fieldsUsage count="1">
        <fieldUsage x="2"/>
      </fieldsUsage>
    </cacheHierarchy>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2384257" backgroundQuery="1" createdVersion="8" refreshedVersion="8" minRefreshableVersion="3" recordCount="0" supportSubquery="1" supportAdvancedDrill="1" xr:uid="{1DD08F8A-CCC7-480D-8046-6E9685C2E6E1}">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Total Customers]" caption="Total Customers" numFmtId="0" hierarchy="32"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oneField="1">
      <fieldsUsage count="1">
        <fieldUsage x="2"/>
      </fieldsUsage>
    </cacheHierarchy>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273148" backgroundQuery="1" createdVersion="8" refreshedVersion="8" minRefreshableVersion="3" recordCount="0" supportSubquery="1" supportAdvancedDrill="1" xr:uid="{EB1FDC94-89ED-4E41-B083-37156298E4CB}">
  <cacheSource type="external" connectionId="4"/>
  <cacheFields count="3">
    <cacheField name="[Sales_data_Cleaned].[date (Year)].[date (Year)]" caption="date (Year)" numFmtId="0" hierarchy="14" level="1">
      <sharedItems count="2">
        <s v="2019"/>
        <s v="2020"/>
      </sharedItems>
    </cacheField>
    <cacheField name="[Sales_data_Cleaned].[date (Month)].[date (Month)]" caption="date (Month)" numFmtId="0" hierarchy="16" level="1">
      <sharedItems count="12">
        <s v="Jan"/>
        <s v="Feb"/>
        <s v="Mar"/>
        <s v="Apr"/>
        <s v="May"/>
        <s v="Jun"/>
        <s v="Jul"/>
        <s v="Aug"/>
        <s v="Sep"/>
        <s v="Oct"/>
        <s v="Nov"/>
        <s v="Dec"/>
      </sharedItems>
    </cacheField>
    <cacheField name="[Measures].[Total profit]" caption="Total profit" numFmtId="0" hierarchy="27" level="32767"/>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1"/>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2"/>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3310188" backgroundQuery="1" createdVersion="8" refreshedVersion="8" minRefreshableVersion="3" recordCount="0" supportSubquery="1" supportAdvancedDrill="1" xr:uid="{08404FB2-3DC2-4187-A420-7890B805C116}">
  <cacheSource type="external" connectionId="4"/>
  <cacheFields count="3">
    <cacheField name="[Sales_data_Cleaned].[category].[category]" caption="category" numFmtId="0" hierarchy="4" level="1">
      <sharedItems count="10">
        <s v="Accessories"/>
        <s v="Appliances"/>
        <s v="Beauty"/>
        <s v="Books"/>
        <s v="Clothing"/>
        <s v="Electronics"/>
        <s v="Games"/>
        <s v="Other"/>
        <s v="Outdoors"/>
        <s v="Smartphones"/>
      </sharedItems>
    </cacheField>
    <cacheField name="[Measures].[Total profit]" caption="Total profit" numFmtId="0" hierarchy="27"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fieldsUsage count="2">
        <fieldUsage x="-1"/>
        <fieldUsage x="0"/>
      </fieldsUsage>
    </cacheHierarchy>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1"/>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3888888" backgroundQuery="1" createdVersion="8" refreshedVersion="8" minRefreshableVersion="3" recordCount="0" supportSubquery="1" supportAdvancedDrill="1" xr:uid="{6ACDF0DA-8BE8-4775-9729-D4534C489667}">
  <cacheSource type="external" connectionId="4"/>
  <cacheFields count="3">
    <cacheField name="[Sales_data_Cleaned].[device_type].[device_type]" caption="device_type" numFmtId="0" hierarchy="8" level="1">
      <sharedItems count="4">
        <s v="Mobile"/>
        <s v="PC"/>
        <s v="Tablet"/>
        <s v="Unidentified"/>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fieldsUsage count="2">
        <fieldUsage x="-1"/>
        <fieldUsage x="0"/>
      </fieldsUsage>
    </cacheHierarchy>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435185" backgroundQuery="1" createdVersion="8" refreshedVersion="8" minRefreshableVersion="3" recordCount="0" supportSubquery="1" supportAdvancedDrill="1" xr:uid="{1BFBE5FD-625B-4356-AFDB-5858B7BD6E6A}">
  <cacheSource type="external" connectionId="4"/>
  <cacheFields count="3">
    <cacheField name="[Sales_data_Cleaned].[device_type].[device_type]" caption="device_type" numFmtId="0" hierarchy="8" level="1">
      <sharedItems count="4">
        <s v="Mobile"/>
        <s v="PC"/>
        <s v="Tablet"/>
        <s v="Unidentified"/>
      </sharedItems>
    </cacheField>
    <cacheField name="[Measures].[Total profit]" caption="Total profit" numFmtId="0" hierarchy="27"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fieldsUsage count="2">
        <fieldUsage x="-1"/>
        <fieldUsage x="0"/>
      </fieldsUsage>
    </cacheHierarchy>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1"/>
      </fieldsUsage>
    </cacheHierarchy>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4814812" backgroundQuery="1" createdVersion="8" refreshedVersion="8" minRefreshableVersion="3" recordCount="0" supportSubquery="1" supportAdvancedDrill="1" xr:uid="{33897376-B3F6-4F1D-ADBB-FD6C5DC7E2D3}">
  <cacheSource type="external" connectionId="4"/>
  <cacheFields count="7">
    <cacheField name="[Sales_data_Cleaned].[date (Year)].[date (Year)]" caption="date (Year)" numFmtId="0" hierarchy="14" level="1">
      <sharedItems count="2">
        <s v="2019"/>
        <s v="2020"/>
      </sharedItems>
    </cacheField>
    <cacheField name="[Measures].[Total Sales]" caption="Total Sales" numFmtId="0" hierarchy="25" level="32767"/>
    <cacheField name="[Measures].[Total profit]" caption="Total profit" numFmtId="0" hierarchy="27" level="32767"/>
    <cacheField name="[Measures].[Profit Margin%]" caption="Profit Margin%" numFmtId="0" hierarchy="28" level="32767"/>
    <cacheField name="[Measures].[Orders Count]" caption="Orders Count" numFmtId="0" hierarchy="30" level="32767"/>
    <cacheField name="[Measures].[Total Customers]" caption="Total Customers" numFmtId="0" hierarchy="32"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6"/>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2"/>
      </fieldsUsage>
    </cacheHierarchy>
    <cacheHierarchy uniqueName="[Measures].[Profit Margin%]" caption="Profit Margin%" measure="1" displayFolder="" measureGroup="Sales_data_Cleaned" count="0" oneField="1">
      <fieldsUsage count="1">
        <fieldUsage x="3"/>
      </fieldsUsage>
    </cacheHierarchy>
    <cacheHierarchy uniqueName="[Measures].[Average Order Value]" caption="Average Order Value" measure="1" displayFolder="" measureGroup="Sales_data_Cleaned" count="0"/>
    <cacheHierarchy uniqueName="[Measures].[Orders Count]" caption="Orders Count" measure="1" displayFolder="" measureGroup="Sales_data_Cleaned" count="0" oneField="1">
      <fieldsUsage count="1">
        <fieldUsage x="4"/>
      </fieldsUsage>
    </cacheHierarchy>
    <cacheHierarchy uniqueName="[Measures].[Sales per Customer]" caption="Sales per Customer" measure="1" displayFolder="" measureGroup="Sales_data_Cleaned" count="0"/>
    <cacheHierarchy uniqueName="[Measures].[Total Customers]" caption="Total Customers" measure="1" displayFolder="" measureGroup="Sales_data_Cleaned" count="0" oneField="1">
      <fieldsUsage count="1">
        <fieldUsage x="5"/>
      </fieldsUsage>
    </cacheHierarchy>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5277781" backgroundQuery="1" createdVersion="8" refreshedVersion="8" minRefreshableVersion="3" recordCount="0" supportSubquery="1" supportAdvancedDrill="1" xr:uid="{CB0EF836-299A-46F0-B01E-79A39DF4A280}">
  <cacheSource type="external" connectionId="4"/>
  <cacheFields count="3">
    <cacheField name="[Sales_data_Cleaned].[sales_manager].[sales_manager]" caption="sales_manager" numFmtId="0" hierarchy="6" level="1">
      <sharedItems count="15">
        <s v="Celine Tumasian"/>
        <s v="Charil Alpe"/>
        <s v="Denice Amberg"/>
        <s v="Emalia Dinse"/>
        <s v="Glenine Suttaby"/>
        <s v="Hube Corey"/>
        <s v="Ilsa Kob"/>
        <s v="Jessamine Apark"/>
        <s v="Lambert Norheny"/>
        <s v="Maxie Marrow"/>
        <s v="Modestia Byfford"/>
        <s v="Orsa Geekin"/>
        <s v="Othello Bowes"/>
        <s v="Piggy Roscrigg"/>
        <s v="Rickard Doogood"/>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fieldsUsage count="2">
        <fieldUsage x="-1"/>
        <fieldUsage x="0"/>
      </fieldsUsage>
    </cacheHierarchy>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5624997" backgroundQuery="1" createdVersion="8" refreshedVersion="8" minRefreshableVersion="3" recordCount="0" supportSubquery="1" supportAdvancedDrill="1" xr:uid="{7FC7CC9C-6B4C-4742-8CF2-7BCAC0649D24}">
  <cacheSource type="external" connectionId="4"/>
  <cacheFields count="3">
    <cacheField name="[Sales_data_Cleaned].[sales_rep].[sales_rep]" caption="sales_rep" numFmtId="0" hierarchy="7" level="1">
      <sharedItems count="10">
        <s v="Amelina Piscopiello"/>
        <s v="Aurelie Wren"/>
        <s v="Avrit Chanders"/>
        <s v="Brynn Dempster"/>
        <s v="Corene Shirer"/>
        <s v="Crysta Halls"/>
        <s v="Hortense Gerring"/>
        <s v="Ora Grennan"/>
        <s v="Tarrah Castelletti"/>
        <s v="Winny Agnolo"/>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2" memberValueDatatype="130" unbalanced="0">
      <fieldsUsage count="2">
        <fieldUsage x="-1"/>
        <fieldUsage x="0"/>
      </fieldsUsage>
    </cacheHierarchy>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6203705" backgroundQuery="1" createdVersion="8" refreshedVersion="8" minRefreshableVersion="3" recordCount="0" supportSubquery="1" supportAdvancedDrill="1" xr:uid="{6208AB11-AFD6-44A5-A003-B8921C3A4824}">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Average Order Value]" caption="Average Order Value" numFmtId="0" hierarchy="29"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oneField="1">
      <fieldsUsage count="1">
        <fieldUsage x="1"/>
      </fieldsUsage>
    </cacheHierarchy>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6550928" backgroundQuery="1" createdVersion="8" refreshedVersion="8" minRefreshableVersion="3" recordCount="0" supportSubquery="1" supportAdvancedDrill="1" xr:uid="{AAFD8216-F051-48CF-846C-2953A22083A5}">
  <cacheSource type="external" connectionId="4"/>
  <cacheFields count="3">
    <cacheField name="[Sales_data_Cleaned].[category].[category]" caption="category" numFmtId="0" hierarchy="4" level="1">
      <sharedItems count="10">
        <s v="Accessories"/>
        <s v="Appliances"/>
        <s v="Beauty"/>
        <s v="Books"/>
        <s v="Clothing"/>
        <s v="Electronics"/>
        <s v="Games"/>
        <s v="Other"/>
        <s v="Outdoors"/>
        <s v="Smartphones"/>
      </sharedItems>
    </cacheField>
    <cacheField name="[Measures].[Profit Margin%]" caption="Profit Margin%" numFmtId="0" hierarchy="28"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fieldsUsage count="2">
        <fieldUsage x="-1"/>
        <fieldUsage x="0"/>
      </fieldsUsage>
    </cacheHierarchy>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oneField="1">
      <fieldsUsage count="1">
        <fieldUsage x="1"/>
      </fieldsUsage>
    </cacheHierarchy>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7129629" backgroundQuery="1" createdVersion="8" refreshedVersion="8" minRefreshableVersion="3" recordCount="0" supportSubquery="1" supportAdvancedDrill="1" xr:uid="{D13DBB2E-C68C-4327-81F2-F1EB6634C8F0}">
  <cacheSource type="external" connectionId="4"/>
  <cacheFields count="3">
    <cacheField name="[Measures].[Total Sales]" caption="Total Sales" numFmtId="0" hierarchy="25" level="32767"/>
    <cacheField name="[Sales_data_Cleaned].[Season].[Season]" caption="Season" numFmtId="0" hierarchy="18" level="1">
      <sharedItems count="4">
        <s v="Autumn"/>
        <s v="Spring"/>
        <s v="Summer"/>
        <s v="Winter"/>
      </sharedItems>
    </cacheField>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fieldsUsage count="2">
        <fieldUsage x="-1"/>
        <fieldUsage x="1"/>
      </fieldsUsage>
    </cacheHierarchy>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0"/>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7708337" backgroundQuery="1" createdVersion="8" refreshedVersion="8" minRefreshableVersion="3" recordCount="0" supportSubquery="1" supportAdvancedDrill="1" xr:uid="{7FE02E56-F1AA-4F4C-9613-6B5DDA8C0FCA}">
  <cacheSource type="external" connectionId="4"/>
  <cacheFields count="6">
    <cacheField name="[Measures].[Total profit]" caption="Total profit" numFmtId="0" hierarchy="27" level="32767"/>
    <cacheField name="[Measures].[Profit Margin%]" caption="Profit Margin%" numFmtId="0" hierarchy="28" level="32767"/>
    <cacheField name="[Measures].[Orders Count]" caption="Orders Count" numFmtId="0" hierarchy="30" level="32767"/>
    <cacheField name="[Measures].[Total Customers]" caption="Total Customers" numFmtId="0" hierarchy="32" level="32767"/>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5"/>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4"/>
      </fieldsUsage>
    </cacheHierarchy>
    <cacheHierarchy uniqueName="[Measures].[Total cost]" caption="Total cost" measure="1" displayFolder="" measureGroup="Sales_data_Cleaned" count="0"/>
    <cacheHierarchy uniqueName="[Measures].[Total profit]" caption="Total profit" measure="1" displayFolder="" measureGroup="Sales_data_Cleaned" count="0" oneField="1">
      <fieldsUsage count="1">
        <fieldUsage x="0"/>
      </fieldsUsage>
    </cacheHierarchy>
    <cacheHierarchy uniqueName="[Measures].[Profit Margin%]" caption="Profit Margin%" measure="1" displayFolder="" measureGroup="Sales_data_Cleaned" count="0" oneField="1">
      <fieldsUsage count="1">
        <fieldUsage x="1"/>
      </fieldsUsage>
    </cacheHierarchy>
    <cacheHierarchy uniqueName="[Measures].[Average Order Value]" caption="Average Order Value" measure="1" displayFolder="" measureGroup="Sales_data_Cleaned" count="0"/>
    <cacheHierarchy uniqueName="[Measures].[Orders Count]" caption="Orders Count" measure="1" displayFolder="" measureGroup="Sales_data_Cleaned" count="0" oneField="1">
      <fieldsUsage count="1">
        <fieldUsage x="2"/>
      </fieldsUsage>
    </cacheHierarchy>
    <cacheHierarchy uniqueName="[Measures].[Sales per Customer]" caption="Sales per Customer" measure="1" displayFolder="" measureGroup="Sales_data_Cleaned" count="0"/>
    <cacheHierarchy uniqueName="[Measures].[Total Customers]" caption="Total Customers" measure="1" displayFolder="" measureGroup="Sales_data_Cleaned" count="0" oneField="1">
      <fieldsUsage count="1">
        <fieldUsage x="3"/>
      </fieldsUsage>
    </cacheHierarchy>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8055553" backgroundQuery="1" createdVersion="8" refreshedVersion="8" minRefreshableVersion="3" recordCount="0" supportSubquery="1" supportAdvancedDrill="1" xr:uid="{5F5F5D47-90D3-4687-AFDD-A8BBEB9FEAA6}">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8402776" backgroundQuery="1" createdVersion="8" refreshedVersion="8" minRefreshableVersion="3" recordCount="0" supportSubquery="1" supportAdvancedDrill="1" xr:uid="{AA19CE84-6803-402E-AAFB-E4AFC2801C8D}">
  <cacheSource type="external" connectionId="4"/>
  <cacheFields count="3">
    <cacheField name="[Sales_data_Cleaned].[date (Year)].[date (Year)]" caption="date (Year)" numFmtId="0" hierarchy="14" level="1">
      <sharedItems count="2">
        <s v="2019"/>
        <s v="2020"/>
      </sharedItems>
    </cacheField>
    <cacheField name="[Measures].[Total Sales]" caption="Total Sales" numFmtId="0" hierarchy="25"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fieldsUsage count="2">
        <fieldUsage x="-1"/>
        <fieldUsage x="0"/>
      </fieldsUsage>
    </cacheHierarchy>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oneField="1">
      <fieldsUsage count="1">
        <fieldUsage x="1"/>
      </fieldsUsage>
    </cacheHierarchy>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67218981484" backgroundQuery="1" createdVersion="8" refreshedVersion="8" minRefreshableVersion="3" recordCount="0" supportSubquery="1" supportAdvancedDrill="1" xr:uid="{643E2898-411F-42FB-9D79-DBD19277D117}">
  <cacheSource type="external" connectionId="4"/>
  <cacheFields count="3">
    <cacheField name="[Sales_data_Cleaned].[country].[country]" caption="country" numFmtId="0" level="1">
      <sharedItems count="15">
        <s v="Austria"/>
        <s v="Belgium"/>
        <s v="Bulgaria"/>
        <s v="Denmark"/>
        <s v="Finland"/>
        <s v="France"/>
        <s v="Germany"/>
        <s v="Ireland"/>
        <s v="Italy"/>
        <s v="Luxembourg"/>
        <s v="Netherlands"/>
        <s v="Portugal"/>
        <s v="Spain"/>
        <s v="Sweden"/>
        <s v="UK"/>
      </sharedItems>
    </cacheField>
    <cacheField name="[Measures].[Sum of Profit]" caption="Sum of Profit" numFmtId="0" hierarchy="23" level="32767"/>
    <cacheField name="[Sales_data_Cleaned].[date (Month)].[date (Month)]" caption="date (Month)" numFmtId="0" hierarchy="16" level="1">
      <sharedItems containsSemiMixedTypes="0" containsNonDate="0" containsString="0"/>
    </cacheField>
  </cacheFields>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fieldsUsage count="2">
        <fieldUsage x="-1"/>
        <fieldUsage x="0"/>
      </fieldsUsage>
    </cacheHierarchy>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fieldsUsage count="2">
        <fieldUsage x="-1"/>
        <fieldUsage x="2"/>
      </fieldsUsage>
    </cacheHierarchy>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oneField="1">
      <fieldsUsage count="1">
        <fieldUsage x="1"/>
      </fieldsUsage>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dimensions count="2">
    <dimension measure="1" name="Measures" uniqueName="[Measures]" caption="Measures"/>
    <dimension name="Sales_data_Cleaned" uniqueName="[Sales_data_Cleaned]" caption="Sales_data_Cleaned"/>
  </dimensions>
  <measureGroups count="1">
    <measureGroup name="Sales_data_Cleaned" caption="Sales_data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rkhawy" refreshedDate="45971.756076041667" backgroundQuery="1" createdVersion="3" refreshedVersion="8" minRefreshableVersion="3" recordCount="0" supportSubquery="1" supportAdvancedDrill="1" xr:uid="{FE5ABAB6-65CE-4E09-93B7-AB57BD4D78FA}">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Sales_data_Cleaned].[country]" caption="country" attribute="1" defaultMemberUniqueName="[Sales_data_Cleaned].[country].[All]" allUniqueName="[Sales_data_Cleaned].[country].[All]" dimensionUniqueName="[Sales_data_Cleaned]" displayFolder="" count="2" memberValueDatatype="130" unbalanced="0"/>
    <cacheHierarchy uniqueName="[Sales_data_Cleaned].[Order_value_EUR_cleaned]" caption="Order_value_EUR_cleaned" attribute="1" defaultMemberUniqueName="[Sales_data_Cleaned].[Order_value_EUR_cleaned].[All]" allUniqueName="[Sales_data_Cleaned].[Order_value_EUR_cleaned].[All]" dimensionUniqueName="[Sales_data_Cleaned]" displayFolder="" count="0" memberValueDatatype="5" unbalanced="0"/>
    <cacheHierarchy uniqueName="[Sales_data_Cleaned].[Cost Cleaned]" caption="Cost Cleaned" attribute="1" defaultMemberUniqueName="[Sales_data_Cleaned].[Cost Cleaned].[All]" allUniqueName="[Sales_data_Cleaned].[Cost Cleaned].[All]" dimensionUniqueName="[Sales_data_Cleaned]" displayFolder="" count="0" memberValueDatatype="5" unbalanced="0"/>
    <cacheHierarchy uniqueName="[Sales_data_Cleaned].[date]" caption="date" attribute="1" time="1" defaultMemberUniqueName="[Sales_data_Cleaned].[date].[All]" allUniqueName="[Sales_data_Cleaned].[date].[All]" dimensionUniqueName="[Sales_data_Cleaned]" displayFolder="" count="0" memberValueDatatype="7" unbalanced="0"/>
    <cacheHierarchy uniqueName="[Sales_data_Cleaned].[category]" caption="category" attribute="1" defaultMemberUniqueName="[Sales_data_Cleaned].[category].[All]" allUniqueName="[Sales_data_Cleaned].[category].[All]" dimensionUniqueName="[Sales_data_Cleaned]" displayFolder="" count="2" memberValueDatatype="130" unbalanced="0"/>
    <cacheHierarchy uniqueName="[Sales_data_Cleaned].[customer_name]" caption="customer_name" attribute="1" defaultMemberUniqueName="[Sales_data_Cleaned].[customer_name].[All]" allUniqueName="[Sales_data_Cleaned].[customer_name].[All]" dimensionUniqueName="[Sales_data_Cleaned]" displayFolder="" count="0" memberValueDatatype="130" unbalanced="0"/>
    <cacheHierarchy uniqueName="[Sales_data_Cleaned].[sales_manager]" caption="sales_manager" attribute="1" defaultMemberUniqueName="[Sales_data_Cleaned].[sales_manager].[All]" allUniqueName="[Sales_data_Cleaned].[sales_manager].[All]" dimensionUniqueName="[Sales_data_Cleaned]" displayFolder="" count="2" memberValueDatatype="130" unbalanced="0"/>
    <cacheHierarchy uniqueName="[Sales_data_Cleaned].[sales_rep]" caption="sales_rep" attribute="1" defaultMemberUniqueName="[Sales_data_Cleaned].[sales_rep].[All]" allUniqueName="[Sales_data_Cleaned].[sales_rep].[All]" dimensionUniqueName="[Sales_data_Cleaned]" displayFolder="" count="0" memberValueDatatype="130" unbalanced="0"/>
    <cacheHierarchy uniqueName="[Sales_data_Cleaned].[device_type]" caption="device_type" attribute="1" defaultMemberUniqueName="[Sales_data_Cleaned].[device_type].[All]" allUniqueName="[Sales_data_Cleaned].[device_type].[All]" dimensionUniqueName="[Sales_data_Cleaned]" displayFolder="" count="2" memberValueDatatype="130" unbalanced="0"/>
    <cacheHierarchy uniqueName="[Sales_data_Cleaned].[order_id]" caption="order_id" attribute="1" defaultMemberUniqueName="[Sales_data_Cleaned].[order_id].[All]" allUniqueName="[Sales_data_Cleaned].[order_id].[All]" dimensionUniqueName="[Sales_data_Cleaned]" displayFolder="" count="0" memberValueDatatype="130" unbalanced="0"/>
    <cacheHierarchy uniqueName="[Sales_data_Cleaned].[Profit]" caption="Profit" attribute="1" defaultMemberUniqueName="[Sales_data_Cleaned].[Profit].[All]" allUniqueName="[Sales_data_Cleaned].[Profit].[All]" dimensionUniqueName="[Sales_data_Cleaned]" displayFolder="" count="0" memberValueDatatype="5" unbalanced="0"/>
    <cacheHierarchy uniqueName="[Sales_data_Cleaned].[Profit Margin %]" caption="Profit Margin %" attribute="1" defaultMemberUniqueName="[Sales_data_Cleaned].[Profit Margin %].[All]" allUniqueName="[Sales_data_Cleaned].[Profit Margin %].[All]" dimensionUniqueName="[Sales_data_Cleaned]" displayFolder="" count="0" memberValueDatatype="5" unbalanced="0"/>
    <cacheHierarchy uniqueName="[Sales_data_Cleaned].[Year]" caption="Year" attribute="1" defaultMemberUniqueName="[Sales_data_Cleaned].[Year].[All]" allUniqueName="[Sales_data_Cleaned].[Year].[All]" dimensionUniqueName="[Sales_data_Cleaned]" displayFolder="" count="0" memberValueDatatype="20" unbalanced="0"/>
    <cacheHierarchy uniqueName="[Sales_data_Cleaned].[Month]" caption="Month" attribute="1" defaultMemberUniqueName="[Sales_data_Cleaned].[Month].[All]" allUniqueName="[Sales_data_Cleaned].[Month].[All]" dimensionUniqueName="[Sales_data_Cleaned]" displayFolder="" count="0" memberValueDatatype="130" unbalanced="0"/>
    <cacheHierarchy uniqueName="[Sales_data_Cleaned].[date (Year)]" caption="date (Year)" attribute="1" defaultMemberUniqueName="[Sales_data_Cleaned].[date (Year)].[All]" allUniqueName="[Sales_data_Cleaned].[date (Year)].[All]" dimensionUniqueName="[Sales_data_Cleaned]" displayFolder="" count="2" memberValueDatatype="130" unbalanced="0"/>
    <cacheHierarchy uniqueName="[Sales_data_Cleaned].[date (Quarter)]" caption="date (Quarter)" attribute="1" defaultMemberUniqueName="[Sales_data_Cleaned].[date (Quarter)].[All]" allUniqueName="[Sales_data_Cleaned].[date (Quarter)].[All]" dimensionUniqueName="[Sales_data_Cleaned]" displayFolder="" count="0" memberValueDatatype="130" unbalanced="0"/>
    <cacheHierarchy uniqueName="[Sales_data_Cleaned].[date (Month)]" caption="date (Month)" attribute="1" defaultMemberUniqueName="[Sales_data_Cleaned].[date (Month)].[All]" allUniqueName="[Sales_data_Cleaned].[date (Month)].[All]" dimensionUniqueName="[Sales_data_Cleaned]" displayFolder="" count="2" memberValueDatatype="130" unbalanced="0"/>
    <cacheHierarchy uniqueName="[Sales_data_Cleaned].[MonthNumber]" caption="MonthNumber" attribute="1" defaultMemberUniqueName="[Sales_data_Cleaned].[MonthNumber].[All]" allUniqueName="[Sales_data_Cleaned].[MonthNumber].[All]" dimensionUniqueName="[Sales_data_Cleaned]" displayFolder="" count="0" memberValueDatatype="20" unbalanced="0"/>
    <cacheHierarchy uniqueName="[Sales_data_Cleaned].[Season]" caption="Season" attribute="1" defaultMemberUniqueName="[Sales_data_Cleaned].[Season].[All]" allUniqueName="[Sales_data_Cleaned].[Season].[All]" dimensionUniqueName="[Sales_data_Cleaned]" displayFolder="" count="2" memberValueDatatype="130" unbalanced="0"/>
    <cacheHierarchy uniqueName="[Sales_data_Cleaned].[date (Month Index)]" caption="date (Month Index)" attribute="1" defaultMemberUniqueName="[Sales_data_Cleaned].[date (Month Index)].[All]" allUniqueName="[Sales_data_Cleaned].[date (Month Index)].[All]" dimensionUniqueName="[Sales_data_Cleaned]" displayFolder="" count="0" memberValueDatatype="20" unbalanced="0" hidden="1"/>
    <cacheHierarchy uniqueName="[Measures].[Sum of Year]" caption="Sum of Year" measure="1" displayFolder="" measureGroup="Sales_data_Cleaned" count="0">
      <extLst>
        <ext xmlns:x15="http://schemas.microsoft.com/office/spreadsheetml/2010/11/main" uri="{B97F6D7D-B522-45F9-BDA1-12C45D357490}">
          <x15:cacheHierarchy aggregatedColumn="12"/>
        </ext>
      </extLst>
    </cacheHierarchy>
    <cacheHierarchy uniqueName="[Measures].[Sum of Profit Margin %]" caption="Sum of Profit Margin %" measure="1" displayFolder="" measureGroup="Sales_data_Cleaned" count="0">
      <extLst>
        <ext xmlns:x15="http://schemas.microsoft.com/office/spreadsheetml/2010/11/main" uri="{B97F6D7D-B522-45F9-BDA1-12C45D357490}">
          <x15:cacheHierarchy aggregatedColumn="11"/>
        </ext>
      </extLst>
    </cacheHierarchy>
    <cacheHierarchy uniqueName="[Measures].[Sum of Order_value_EUR_cleaned]" caption="Sum of Order_value_EUR_cleaned" measure="1" displayFolder="" measureGroup="Sales_data_Cleaned"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_data_Cleaned" count="0">
      <extLst>
        <ext xmlns:x15="http://schemas.microsoft.com/office/spreadsheetml/2010/11/main" uri="{B97F6D7D-B522-45F9-BDA1-12C45D357490}">
          <x15:cacheHierarchy aggregatedColumn="10"/>
        </ext>
      </extLst>
    </cacheHierarchy>
    <cacheHierarchy uniqueName="[Measures].[Count of date (Year)]" caption="Count of date (Year)" measure="1" displayFolder="" measureGroup="Sales_data_Cleaned" count="0">
      <extLst>
        <ext xmlns:x15="http://schemas.microsoft.com/office/spreadsheetml/2010/11/main" uri="{B97F6D7D-B522-45F9-BDA1-12C45D357490}">
          <x15:cacheHierarchy aggregatedColumn="14"/>
        </ext>
      </extLst>
    </cacheHierarchy>
    <cacheHierarchy uniqueName="[Measures].[Total Sales]" caption="Total Sales" measure="1" displayFolder="" measureGroup="Sales_data_Cleaned" count="0"/>
    <cacheHierarchy uniqueName="[Measures].[Total cost]" caption="Total cost" measure="1" displayFolder="" measureGroup="Sales_data_Cleaned" count="0"/>
    <cacheHierarchy uniqueName="[Measures].[Total profit]" caption="Total profit" measure="1" displayFolder="" measureGroup="Sales_data_Cleaned" count="0"/>
    <cacheHierarchy uniqueName="[Measures].[Profit Margin%]" caption="Profit Margin%" measure="1" displayFolder="" measureGroup="Sales_data_Cleaned" count="0"/>
    <cacheHierarchy uniqueName="[Measures].[Average Order Value]" caption="Average Order Value" measure="1" displayFolder="" measureGroup="Sales_data_Cleaned" count="0"/>
    <cacheHierarchy uniqueName="[Measures].[Orders Count]" caption="Orders Count" measure="1" displayFolder="" measureGroup="Sales_data_Cleaned" count="0"/>
    <cacheHierarchy uniqueName="[Measures].[Sales per Customer]" caption="Sales per Customer" measure="1" displayFolder="" measureGroup="Sales_data_Cleaned" count="0"/>
    <cacheHierarchy uniqueName="[Measures].[Total Customers]" caption="Total Customers" measure="1" displayFolder="" measureGroup="Sales_data_Cleaned" count="0"/>
    <cacheHierarchy uniqueName="[Measures].[__XL_Count Sales_data_Cleaned]" caption="__XL_Count Sales_data_Cleaned" measure="1" displayFolder="" measureGroup="Sales_data_Clean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19779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2F345-DE01-4F0F-9BBC-6F24C295E99D}" name="PivotTable30" cacheId="9072" applyNumberFormats="0" applyBorderFormats="0" applyFontFormats="0" applyPatternFormats="0" applyAlignmentFormats="0" applyWidthHeightFormats="1" dataCaption="Values" tag="44d6ffaa-23ad-48cf-9403-ed0f70c73960" updatedVersion="8" minRefreshableVersion="3" useAutoFormatting="1" subtotalHiddenItems="1" rowGrandTotals="0" colGrandTotals="0" itemPrintTitles="1" createdVersion="8" indent="0" outline="1" outlineData="1" multipleFieldFilters="0" rowHeaderCaption="Sales manger">
  <location ref="M70:N85" firstHeaderRow="1" firstDataRow="1" firstDataCol="1"/>
  <pivotFields count="3">
    <pivotField axis="axisRow" allDrilled="1" subtotalTop="0" showAll="0" defaultSubtotal="0" defaultAttributeDrillState="1">
      <items count="15">
        <item x="2"/>
        <item x="0"/>
        <item x="4"/>
        <item x="5"/>
        <item x="7"/>
        <item x="9"/>
        <item x="12"/>
        <item x="14"/>
        <item x="1"/>
        <item x="3"/>
        <item x="10"/>
        <item x="6"/>
        <item x="8"/>
        <item x="11"/>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43FE0-DAEC-4A50-8C40-B0DDE5E546CC}" name="PivotTable29" cacheId="9066" applyNumberFormats="0" applyBorderFormats="0" applyFontFormats="0" applyPatternFormats="0" applyAlignmentFormats="0" applyWidthHeightFormats="1" dataCaption="Values" tag="33c5dc09-c8a2-4e3d-acd0-be2593ffa140" updatedVersion="8" minRefreshableVersion="3" useAutoFormatting="1" subtotalHiddenItems="1" rowGrandTotals="0" colGrandTotals="0" itemPrintTitles="1" createdVersion="8" indent="0" outline="1" outlineData="1" multipleFieldFilters="0" rowHeaderCaption="Device type">
  <location ref="M62:N6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5E4FBB-1D39-421A-B2E2-1BDCCEF9D76C}" name="PivotTable27" cacheId="9060" applyNumberFormats="0" applyBorderFormats="0" applyFontFormats="0" applyPatternFormats="0" applyAlignmentFormats="0" applyWidthHeightFormats="1" dataCaption="Values" tag="41b6d868-12d7-4a9e-b952-c1b666239e3d" updatedVersion="8" minRefreshableVersion="3" useAutoFormatting="1" subtotalHiddenItems="1" rowGrandTotals="0" colGrandTotals="0" itemPrintTitles="1" createdVersion="8" indent="0" outline="1" outlineData="1" multipleFieldFilters="0" rowHeaderCaption="Category">
  <location ref="Q41:R51"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6"/>
    </i>
    <i>
      <x v="5"/>
    </i>
    <i>
      <x v="1"/>
    </i>
    <i>
      <x v="3"/>
    </i>
    <i>
      <x v="2"/>
    </i>
    <i>
      <x v="9"/>
    </i>
    <i>
      <x v="8"/>
    </i>
    <i>
      <x/>
    </i>
    <i>
      <x v="7"/>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05FC45-1FE8-432B-9FA4-41905E42C458}" name="PivotTable36" cacheId="9087" applyNumberFormats="0" applyBorderFormats="0" applyFontFormats="0" applyPatternFormats="0" applyAlignmentFormats="0" applyWidthHeightFormats="1" dataCaption="Values" tag="05a2743d-01bd-4aeb-add2-29610332e063" updatedVersion="8" minRefreshableVersion="3" useAutoFormatting="1" subtotalHiddenItems="1" itemPrintTitles="1" createdVersion="8" indent="0" outline="1" outlineData="1" multipleFieldFilters="0">
  <location ref="N3:R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832603-65A8-43CA-B836-D4FDD9831EAB}" name="PivotTable34" cacheId="9081" applyNumberFormats="0" applyBorderFormats="0" applyFontFormats="0" applyPatternFormats="0" applyAlignmentFormats="0" applyWidthHeightFormats="1" dataCaption="Values" tag="86555dc3-c8dd-4e1f-824d-0968fcd22106" updatedVersion="8" minRefreshableVersion="3" useAutoFormatting="1" subtotalHiddenItems="1" rowGrandTotals="0" colGrandTotals="0" itemPrintTitles="1" createdVersion="8" indent="0" outline="1" outlineData="1" multipleFieldFilters="0" rowHeaderCaption="Category">
  <location ref="M123:N133"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3"/>
    </i>
    <i>
      <x v="2"/>
    </i>
    <i>
      <x v="7"/>
    </i>
    <i>
      <x v="9"/>
    </i>
    <i>
      <x v="4"/>
    </i>
    <i>
      <x/>
    </i>
    <i>
      <x v="5"/>
    </i>
    <i>
      <x v="6"/>
    </i>
    <i>
      <x v="1"/>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0118E-494C-497D-A2C3-F54E3F6F72BB}" name="PivotTable4" cacheId="9090" applyNumberFormats="0" applyBorderFormats="0" applyFontFormats="0" applyPatternFormats="0" applyAlignmentFormats="0" applyWidthHeightFormats="1" dataCaption="Values" tag="29044562-7566-45ab-86db-8fc5af89c5e5" updatedVersion="8" minRefreshableVersion="3" useAutoFormatting="1" subtotalHiddenItems="1" rowGrandTotals="0" colGrandTotals="0" itemPrintTitles="1" createdVersion="8" indent="0" outline="1" outlineData="1" multipleFieldFilters="0" rowHeaderCaption="Country">
  <location ref="M17:N32"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1"/>
    </i>
    <i>
      <x v="5"/>
    </i>
    <i>
      <x v="13"/>
    </i>
    <i>
      <x v="14"/>
    </i>
    <i>
      <x v="4"/>
    </i>
    <i>
      <x v="7"/>
    </i>
    <i>
      <x v="2"/>
    </i>
    <i>
      <x v="10"/>
    </i>
    <i>
      <x v="9"/>
    </i>
    <i>
      <x v="6"/>
    </i>
    <i>
      <x v="12"/>
    </i>
    <i>
      <x v="8"/>
    </i>
    <i>
      <x v="3"/>
    </i>
    <i>
      <x v="1"/>
    </i>
    <i>
      <x/>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DF6AEF-99FF-49E9-8F74-163F2C5C132B}" name="PivotTable7" cacheId="9093" applyNumberFormats="0" applyBorderFormats="0" applyFontFormats="0" applyPatternFormats="0" applyAlignmentFormats="0" applyWidthHeightFormats="1" dataCaption="Values" tag="ef7fbe62-7900-4b2b-b44e-e9296836c0f7" updatedVersion="8" minRefreshableVersion="3" useAutoFormatting="1" subtotalHiddenItems="1" rowGrandTotals="0" colGrandTotals="0" itemPrintTitles="1" createdVersion="8" indent="0" outline="1" outlineData="1" multipleFieldFilters="0" chartFormat="2">
  <location ref="B3:C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498784-01FE-48F6-9BC1-E3916C30A577}" name="PivotTable33" cacheId="9078" applyNumberFormats="0" applyBorderFormats="0" applyFontFormats="0" applyPatternFormats="0" applyAlignmentFormats="0" applyWidthHeightFormats="1" dataCaption="Values" tag="b1b7f311-015b-4a9d-908d-1328d4d2cb94" updatedVersion="8" minRefreshableVersion="3" useAutoFormatting="1" subtotalHiddenItems="1" rowGrandTotals="0" colGrandTotals="0" itemPrintTitles="1" createdVersion="8" indent="0" outline="1" outlineData="1" multipleFieldFilters="0" rowHeaderCaption="Country">
  <location ref="M106:N121"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9"/>
    </i>
    <i>
      <x v="4"/>
    </i>
    <i>
      <x v="14"/>
    </i>
    <i>
      <x v="10"/>
    </i>
    <i>
      <x v="6"/>
    </i>
    <i>
      <x v="11"/>
    </i>
    <i>
      <x v="2"/>
    </i>
    <i>
      <x v="7"/>
    </i>
    <i>
      <x v="5"/>
    </i>
    <i>
      <x v="13"/>
    </i>
    <i>
      <x v="1"/>
    </i>
    <i>
      <x/>
    </i>
    <i>
      <x v="8"/>
    </i>
    <i>
      <x v="12"/>
    </i>
    <i>
      <x v="3"/>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ABC60D-67DB-4F06-B17F-BED4F9E23FA3}" name="PivotTable32" cacheId="9075" applyNumberFormats="0" applyBorderFormats="0" applyFontFormats="0" applyPatternFormats="0" applyAlignmentFormats="0" applyWidthHeightFormats="1" dataCaption="Values" tag="2c01eb63-5796-462e-be73-fccf912c8b0d" updatedVersion="8" minRefreshableVersion="3" useAutoFormatting="1" subtotalHiddenItems="1" rowGrandTotals="0" colGrandTotals="0" itemPrintTitles="1" createdVersion="8" indent="0" outline="1" outlineData="1" multipleFieldFilters="0" rowHeaderCaption="Sales rep">
  <location ref="M93:N10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i>
    <i>
      <x v="6"/>
    </i>
    <i>
      <x v="1"/>
    </i>
    <i>
      <x v="7"/>
    </i>
    <i>
      <x v="5"/>
    </i>
    <i>
      <x v="3"/>
    </i>
    <i>
      <x v="9"/>
    </i>
    <i>
      <x v="2"/>
    </i>
    <i>
      <x v="8"/>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C59E3F-F710-411D-9F28-CC4DE9D605DD}" name="PivotTable24" cacheId="9057" applyNumberFormats="0" applyBorderFormats="0" applyFontFormats="0" applyPatternFormats="0" applyAlignmentFormats="0" applyWidthHeightFormats="1" dataCaption="Values" tag="3698e7b8-0fa3-4cd1-b7e2-b0a9a6008f59" updatedVersion="8" minRefreshableVersion="3" useAutoFormatting="1" subtotalHiddenItems="1" rowGrandTotals="0" colGrandTotals="0" itemPrintTitles="1" createdVersion="8" indent="0" outline="1" outlineData="1" multipleFieldFilters="0">
  <location ref="C85:E9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EE899C-BCE1-4C6A-BFA7-F8FEA2F587B6}" name="PivotTable19" cacheId="9048" applyNumberFormats="0" applyBorderFormats="0" applyFontFormats="0" applyPatternFormats="0" applyAlignmentFormats="0" applyWidthHeightFormats="1" dataCaption="Values" tag="318b60ed-aa9e-4732-bb1f-bb87922fbfc1" updatedVersion="8" minRefreshableVersion="3" useAutoFormatting="1" subtotalHiddenItems="1" rowGrandTotals="0" colGrandTotals="0" itemPrintTitles="1" createdVersion="8" indent="0" outline="1" outlineData="1" multipleFieldFilters="0" rowHeaderCaption="Country">
  <location ref="S24:T39"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1"/>
    </i>
    <i>
      <x v="5"/>
    </i>
    <i>
      <x v="13"/>
    </i>
    <i>
      <x v="14"/>
    </i>
    <i>
      <x v="7"/>
    </i>
    <i>
      <x v="4"/>
    </i>
    <i>
      <x v="10"/>
    </i>
    <i>
      <x v="2"/>
    </i>
    <i>
      <x v="9"/>
    </i>
    <i>
      <x v="6"/>
    </i>
    <i>
      <x v="12"/>
    </i>
    <i>
      <x v="8"/>
    </i>
    <i>
      <x v="3"/>
    </i>
    <i>
      <x v="1"/>
    </i>
    <i>
      <x/>
    </i>
  </rowItems>
  <colItems count="1">
    <i/>
  </colItems>
  <dataFields count="1">
    <dataField name="Sum of Profit" fld="1"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E6EB72-A657-408C-BF6A-51523E82B1BB}" name="PivotTable35" cacheId="9084" applyNumberFormats="0" applyBorderFormats="0" applyFontFormats="0" applyPatternFormats="0" applyAlignmentFormats="0" applyWidthHeightFormats="1" dataCaption="Values" tag="f0e3e82f-ca5f-4619-916c-9ff71f89fb18" updatedVersion="8" minRefreshableVersion="3" useAutoFormatting="1" subtotalHiddenItems="1" rowGrandTotals="0" colGrandTotals="0" itemPrintTitles="1" createdVersion="8" indent="0" outline="1" outlineData="1" multipleFieldFilters="0">
  <location ref="C102:D10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95D9D8-C894-4A7F-A9C5-42817F8A6295}" name="PivotTable22" cacheId="9054" applyNumberFormats="0" applyBorderFormats="0" applyFontFormats="0" applyPatternFormats="0" applyAlignmentFormats="0" applyWidthHeightFormats="1" dataCaption="Values" tag="6b5a000b-df25-470f-99a2-0014988dd382" updatedVersion="8" minRefreshableVersion="3" useAutoFormatting="1" subtotalHiddenItems="1" rowGrandTotals="0" colGrandTotals="0" itemPrintTitles="1" createdVersion="8" indent="0" outline="1" outlineData="1" multipleFieldFilters="0">
  <location ref="C68:E8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BB9D41-D4D7-47BE-8C39-595532767993}" name="PivotTable28" cacheId="9063" applyNumberFormats="0" applyBorderFormats="0" applyFontFormats="0" applyPatternFormats="0" applyAlignmentFormats="0" applyWidthHeightFormats="1" dataCaption="Values" tag="42e0ac00-2062-42be-b4c2-f8c361eaead3" updatedVersion="8" minRefreshableVersion="3" useAutoFormatting="1" subtotalHiddenItems="1" rowGrandTotals="0" colGrandTotals="0" itemPrintTitles="1" createdVersion="8" indent="0" outline="1" outlineData="1" multipleFieldFilters="0" rowHeaderCaption="Device type">
  <location ref="M54:N5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ED6AE3-0F63-40A8-BDA6-FAB88CE7C84E}" name="PivotTable3" cacheId="9069" applyNumberFormats="0" applyBorderFormats="0" applyFontFormats="0" applyPatternFormats="0" applyAlignmentFormats="0" applyWidthHeightFormats="1" dataCaption="Values" tag="8bf89dd2-bda3-41e1-a442-5166b33b1462" updatedVersion="8" minRefreshableVersion="3" useAutoFormatting="1" subtotalHiddenItems="1" rowGrandTotals="0" colGrandTotals="0" itemPrintTitles="1" createdVersion="8" indent="0" outline="1" outlineData="1" multipleFieldFilters="0" rowHeaderCaption="Year">
  <location ref="B8:G10"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1020B47-351B-427F-9050-43FB968E9646}" name="PivotTable17" cacheId="9045" applyNumberFormats="0" applyBorderFormats="0" applyFontFormats="0" applyPatternFormats="0" applyAlignmentFormats="0" applyWidthHeightFormats="1" dataCaption="Values" tag="dc09d013-8764-4f7d-81a2-bc0b2f828f4d" updatedVersion="8" minRefreshableVersion="3" useAutoFormatting="1" subtotalHiddenItems="1" rowGrandTotals="0" colGrandTotals="0" itemPrintTitles="1" createdVersion="8" indent="0" outline="1" outlineData="1" multipleFieldFilters="0">
  <location ref="C33:E46"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s>
  <rowFields count="1">
    <field x="1"/>
  </rowFields>
  <rowItems count="12">
    <i>
      <x/>
    </i>
    <i>
      <x v="1"/>
    </i>
    <i>
      <x v="2"/>
    </i>
    <i>
      <x v="3"/>
    </i>
    <i>
      <x v="4"/>
    </i>
    <i>
      <x v="5"/>
    </i>
    <i>
      <x v="6"/>
    </i>
    <i>
      <x v="7"/>
    </i>
    <i>
      <x v="8"/>
    </i>
    <i>
      <x v="9"/>
    </i>
    <i>
      <x v="10"/>
    </i>
    <i>
      <x v="11"/>
    </i>
  </rowItems>
  <colFields count="1">
    <field x="2"/>
  </colFields>
  <colItems count="2">
    <i>
      <x/>
    </i>
    <i>
      <x v="1"/>
    </i>
  </colItems>
  <dataFields count="1">
    <dataField fld="0"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E02B63-F980-4A92-A671-C1FA86B020A2}" name="PivotTable20" cacheId="9051" applyNumberFormats="0" applyBorderFormats="0" applyFontFormats="0" applyPatternFormats="0" applyAlignmentFormats="0" applyWidthHeightFormats="1" dataCaption="Values" tag="6a8f2dc8-d08d-45ed-a4aa-fdd698522cf2" updatedVersion="8" minRefreshableVersion="3" useAutoFormatting="1" subtotalHiddenItems="1" rowGrandTotals="0" colGrandTotals="0" itemPrintTitles="1" createdVersion="8" indent="0" outline="1" outlineData="1" multipleFieldFilters="0">
  <location ref="C51:E6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D75C687-C56E-4527-B674-B6796FD0CCC5}" name="PivotTable1" cacheId="9096" applyNumberFormats="0" applyBorderFormats="0" applyFontFormats="0" applyPatternFormats="0" applyAlignmentFormats="0" applyWidthHeightFormats="1" dataCaption="Values" tag="e0214ba6-7be0-4805-a1f3-f0a18cb266fd" updatedVersion="8" minRefreshableVersion="3" useAutoFormatting="1" subtotalHiddenItems="1" rowGrandTotals="0" colGrandTotals="0" itemPrintTitles="1" createdVersion="8" indent="0" outline="1" outlineData="1" multipleFieldFilters="0" chartFormat="24" rowHeaderCaption="Country">
  <location ref="Q56:R71"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1"/>
    </i>
    <i>
      <x v="5"/>
    </i>
    <i>
      <x v="13"/>
    </i>
    <i>
      <x v="14"/>
    </i>
    <i>
      <x v="7"/>
    </i>
    <i>
      <x v="4"/>
    </i>
    <i>
      <x v="10"/>
    </i>
    <i>
      <x v="2"/>
    </i>
    <i>
      <x v="9"/>
    </i>
    <i>
      <x v="6"/>
    </i>
    <i>
      <x v="12"/>
    </i>
    <i>
      <x v="8"/>
    </i>
    <i>
      <x v="3"/>
    </i>
    <i>
      <x v="1"/>
    </i>
    <i>
      <x/>
    </i>
  </rowItems>
  <colItems count="1">
    <i/>
  </colItems>
  <dataFields count="1">
    <dataField name="Sum of Profit" fld="1" baseField="0" baseItem="0"/>
  </dataFields>
  <chartFormats count="8">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B37E3A1-2CBB-4D46-B83D-5396B9CA4240}" name="PivotTable47" cacheId="9024" applyNumberFormats="0" applyBorderFormats="0" applyFontFormats="0" applyPatternFormats="0" applyAlignmentFormats="0" applyWidthHeightFormats="1" dataCaption="Values" tag="11cff74a-1dce-4699-9dac-7f983cecbc9c" updatedVersion="8" minRefreshableVersion="3" useAutoFormatting="1" subtotalHiddenItems="1" rowGrandTotals="0" colGrandTotals="0" itemPrintTitles="1" createdVersion="8" indent="0" outline="1" outlineData="1" multipleFieldFilters="0" chartFormat="13" rowHeaderCaption="Category">
  <location ref="M77:N87"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6"/>
    </i>
    <i>
      <x v="5"/>
    </i>
    <i>
      <x v="1"/>
    </i>
    <i>
      <x v="3"/>
    </i>
    <i>
      <x v="2"/>
    </i>
    <i>
      <x v="9"/>
    </i>
    <i>
      <x v="8"/>
    </i>
    <i>
      <x/>
    </i>
    <i>
      <x v="7"/>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D81DE04-2A37-4B43-948E-7C0D237AAE11}" name="PivotTable43" cacheId="9015" applyNumberFormats="0" applyBorderFormats="0" applyFontFormats="0" applyPatternFormats="0" applyAlignmentFormats="0" applyWidthHeightFormats="1" dataCaption="Values" tag="4ff8d931-60ae-415a-9a73-7944fca33bf6" updatedVersion="8" minRefreshableVersion="3" useAutoFormatting="1" subtotalHiddenItems="1" rowGrandTotals="0" colGrandTotals="0" itemPrintTitles="1" createdVersion="8" indent="0" outline="1" outlineData="1" multipleFieldFilters="0" chartFormat="15">
  <location ref="Q4:R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D923AD0-59FA-44EF-A24F-B2894EA80275}" name="PivotTable51" cacheId="9036" applyNumberFormats="0" applyBorderFormats="0" applyFontFormats="0" applyPatternFormats="0" applyAlignmentFormats="0" applyWidthHeightFormats="1" dataCaption="Values" tag="a6a88083-15c4-488e-a3db-966be27b89c9" updatedVersion="8" minRefreshableVersion="3" useAutoFormatting="1" subtotalHiddenItems="1" rowGrandTotals="0" colGrandTotals="0" itemPrintTitles="1" createdVersion="8" indent="0" outline="1" outlineData="1" multipleFieldFilters="0" chartFormat="8" rowHeaderCaption="Sales manger">
  <location ref="Q148:R163" firstHeaderRow="1" firstDataRow="1" firstDataCol="1"/>
  <pivotFields count="3">
    <pivotField axis="axisRow" allDrilled="1" subtotalTop="0" showAll="0" defaultSubtotal="0" defaultAttributeDrillState="1">
      <items count="15">
        <item x="2"/>
        <item x="0"/>
        <item x="4"/>
        <item x="5"/>
        <item x="7"/>
        <item x="9"/>
        <item x="12"/>
        <item x="14"/>
        <item x="1"/>
        <item x="3"/>
        <item x="10"/>
        <item x="6"/>
        <item x="8"/>
        <item x="11"/>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3E5676-77F1-48CE-94D7-D12FDC7FE16F}" name="PivotTable48" cacheId="9027" applyNumberFormats="0" applyBorderFormats="0" applyFontFormats="0" applyPatternFormats="0" applyAlignmentFormats="0" applyWidthHeightFormats="1" dataCaption="Values" tag="bf684f97-abda-4ddb-b35e-e5752c778734" updatedVersion="8" minRefreshableVersion="3" useAutoFormatting="1" subtotalHiddenItems="1" rowGrandTotals="0" colGrandTotals="0" itemPrintTitles="1" createdVersion="8" indent="0" outline="1" outlineData="1" multipleFieldFilters="0" chartFormat="7" rowHeaderCaption="Category">
  <location ref="Q100:R110"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3"/>
    </i>
    <i>
      <x v="2"/>
    </i>
    <i>
      <x v="7"/>
    </i>
    <i>
      <x v="9"/>
    </i>
    <i>
      <x v="4"/>
    </i>
    <i>
      <x/>
    </i>
    <i>
      <x v="5"/>
    </i>
    <i>
      <x v="6"/>
    </i>
    <i>
      <x v="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91B839E-A722-4DF2-9544-3B9B5E37070E}" name="PivotTable50" cacheId="9033" applyNumberFormats="0" applyBorderFormats="0" applyFontFormats="0" applyPatternFormats="0" applyAlignmentFormats="0" applyWidthHeightFormats="1" dataCaption="Values" tag="b05120b3-8adb-48b9-a962-c95fea7e1a73" updatedVersion="8" minRefreshableVersion="3" useAutoFormatting="1" subtotalHiddenItems="1" rowGrandTotals="0" colGrandTotals="0" itemPrintTitles="1" createdVersion="8" indent="0" outline="1" outlineData="1" multipleFieldFilters="0" chartFormat="5" rowHeaderCaption="Device type">
  <location ref="Q128:R13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84EE6F-D31F-4DED-B79E-E81ACB759B50}" name="PivotTable53" cacheId="9042" applyNumberFormats="0" applyBorderFormats="0" applyFontFormats="0" applyPatternFormats="0" applyAlignmentFormats="0" applyWidthHeightFormats="1" dataCaption="Values" tag="02084128-cb09-4cee-ad7b-e973f0eb2e86" updatedVersion="8" minRefreshableVersion="3" useAutoFormatting="1" subtotalHiddenItems="1" rowGrandTotals="0" colGrandTotals="0" itemPrintTitles="1" createdVersion="8" indent="0" outline="1" outlineData="1" multipleFieldFilters="0" chartFormat="10" rowHeaderCaption="Cutomer">
  <location ref="Q194:R204" firstHeaderRow="1" firstDataRow="1" firstDataCol="1"/>
  <pivotFields count="3">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3"/>
    </i>
    <i>
      <x v="2"/>
    </i>
    <i>
      <x v="1"/>
    </i>
    <i>
      <x v="5"/>
    </i>
    <i>
      <x/>
    </i>
    <i>
      <x v="8"/>
    </i>
    <i>
      <x v="6"/>
    </i>
    <i>
      <x v="7"/>
    </i>
    <i>
      <x v="9"/>
    </i>
    <i>
      <x v="4"/>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D791DD9-1B85-4B3D-A763-648743E1EDAD}" name="PivotTable44" cacheId="9018" applyNumberFormats="0" applyBorderFormats="0" applyFontFormats="0" applyPatternFormats="0" applyAlignmentFormats="0" applyWidthHeightFormats="1" dataCaption="Values" tag="d282e9ff-c737-4104-8ad5-315eabcc7e06" updatedVersion="8" minRefreshableVersion="3" useAutoFormatting="1" subtotalHiddenItems="1" rowGrandTotals="0" colGrandTotals="0" itemPrintTitles="1" createdVersion="8" indent="0" outline="1" outlineData="1" multipleFieldFilters="0" chartFormat="18" rowHeaderCaption="Country">
  <location ref="Q21:R36"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1"/>
    </i>
    <i>
      <x v="5"/>
    </i>
    <i>
      <x v="13"/>
    </i>
    <i>
      <x v="14"/>
    </i>
    <i>
      <x v="4"/>
    </i>
    <i>
      <x v="7"/>
    </i>
    <i>
      <x v="2"/>
    </i>
    <i>
      <x v="10"/>
    </i>
    <i>
      <x v="9"/>
    </i>
    <i>
      <x v="6"/>
    </i>
    <i>
      <x v="12"/>
    </i>
    <i>
      <x v="8"/>
    </i>
    <i>
      <x v="3"/>
    </i>
    <i>
      <x v="1"/>
    </i>
    <i>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14" format="6"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A61AD5A-ECE7-4927-AAFD-A158BDE4F2F2}" name="PivotTable41" cacheId="9009" applyNumberFormats="0" applyBorderFormats="0" applyFontFormats="0" applyPatternFormats="0" applyAlignmentFormats="0" applyWidthHeightFormats="1" dataCaption="Values" tag="8e081443-38e1-4253-aeeb-9242c81c28ba" updatedVersion="8" minRefreshableVersion="3" useAutoFormatting="1" subtotalHiddenItems="1" rowGrandTotals="0" colGrandTotals="0" itemPrintTitles="1" createdVersion="8" indent="0" outline="1" outlineData="1" multipleFieldFilters="0" chartFormat="13">
  <location ref="B50:D6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2">
          <reference field="4294967294" count="1" selected="0">
            <x v="0"/>
          </reference>
          <reference field="0" count="1" selected="0">
            <x v="1"/>
          </reference>
        </references>
      </pivotArea>
    </chartFormat>
    <chartFormat chart="12"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8D94A9C-1B5F-49AA-94A7-E12F1C614452}" name="PivotTable39" cacheId="9003" applyNumberFormats="0" applyBorderFormats="0" applyFontFormats="0" applyPatternFormats="0" applyAlignmentFormats="0" applyWidthHeightFormats="1" dataCaption="Values" tag="ca90bbd9-2b9a-42c1-8242-bb3ee3e5e648" updatedVersion="8" minRefreshableVersion="3" useAutoFormatting="1" subtotalHiddenItems="1" rowGrandTotals="0" colGrandTotals="0" itemPrintTitles="1" createdVersion="8" indent="0" outline="1" outlineData="1" multipleFieldFilters="0" chartFormat="8">
  <location ref="B18:D3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BD0E685-6890-4F11-8FF7-A7BC6F124A11}" name="PivotTable38" cacheId="9000" applyNumberFormats="0" applyBorderFormats="0" applyFontFormats="0" applyPatternFormats="0" applyAlignmentFormats="0" applyWidthHeightFormats="1" dataCaption="Values" tag="3f6e07c7-d1b9-487f-b1fb-20e3faf2e376" updatedVersion="8" minRefreshableVersion="3" useAutoFormatting="1" subtotalHiddenItems="1" rowGrandTotals="0" colGrandTotals="0" itemPrintTitles="1" createdVersion="8" indent="0" outline="1" outlineData="1" multipleFieldFilters="0" chartFormat="8">
  <location ref="B2:D15"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s>
  <rowFields count="1">
    <field x="1"/>
  </rowFields>
  <rowItems count="12">
    <i>
      <x/>
    </i>
    <i>
      <x v="1"/>
    </i>
    <i>
      <x v="2"/>
    </i>
    <i>
      <x v="3"/>
    </i>
    <i>
      <x v="4"/>
    </i>
    <i>
      <x v="5"/>
    </i>
    <i>
      <x v="6"/>
    </i>
    <i>
      <x v="7"/>
    </i>
    <i>
      <x v="8"/>
    </i>
    <i>
      <x v="9"/>
    </i>
    <i>
      <x v="10"/>
    </i>
    <i>
      <x v="11"/>
    </i>
  </rowItems>
  <colFields count="1">
    <field x="2"/>
  </colFields>
  <colItems count="2">
    <i>
      <x/>
    </i>
    <i>
      <x v="1"/>
    </i>
  </colItems>
  <dataFields count="1">
    <dataFiel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938A0BC-365C-490F-B260-F774B2C269D3}" name="PivotTable46" cacheId="9021" applyNumberFormats="0" applyBorderFormats="0" applyFontFormats="0" applyPatternFormats="0" applyAlignmentFormats="0" applyWidthHeightFormats="1" dataCaption="Values" tag="06b5a76a-3afe-4e58-b663-f2bc115498dd" updatedVersion="8" minRefreshableVersion="3" useAutoFormatting="1" subtotalHiddenItems="1" rowGrandTotals="0" colGrandTotals="0" itemPrintTitles="1" createdVersion="8" indent="0" outline="1" outlineData="1" multipleFieldFilters="0" chartFormat="24" rowHeaderCaption="Country">
  <location ref="S72:T87"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9"/>
    </i>
    <i>
      <x v="4"/>
    </i>
    <i>
      <x v="14"/>
    </i>
    <i>
      <x v="10"/>
    </i>
    <i>
      <x v="6"/>
    </i>
    <i>
      <x v="11"/>
    </i>
    <i>
      <x v="2"/>
    </i>
    <i>
      <x v="7"/>
    </i>
    <i>
      <x v="5"/>
    </i>
    <i>
      <x v="13"/>
    </i>
    <i>
      <x v="1"/>
    </i>
    <i>
      <x/>
    </i>
    <i>
      <x v="8"/>
    </i>
    <i>
      <x v="12"/>
    </i>
    <i>
      <x v="3"/>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2A986D7-4495-4F40-BD05-3E8974514881}" name="PivotTable49" cacheId="9030" applyNumberFormats="0" applyBorderFormats="0" applyFontFormats="0" applyPatternFormats="0" applyAlignmentFormats="0" applyWidthHeightFormats="1" dataCaption="Values" tag="c529c143-d61b-4ff4-ad72-003f97f04466" updatedVersion="8" minRefreshableVersion="3" useAutoFormatting="1" subtotalHiddenItems="1" rowGrandTotals="0" colGrandTotals="0" itemPrintTitles="1" createdVersion="8" indent="0" outline="1" outlineData="1" multipleFieldFilters="0" chartFormat="8" rowHeaderCaption="Device type">
  <location ref="Q114:R11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chartFormats count="10">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2"/>
          </reference>
        </references>
      </pivotArea>
    </chartFormat>
    <chartFormat chart="7" format="22">
      <pivotArea type="data" outline="0" fieldPosition="0">
        <references count="2">
          <reference field="4294967294" count="1" selected="0">
            <x v="0"/>
          </reference>
          <reference field="0" count="1" selected="0">
            <x v="3"/>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A5E3C8F-FD61-403A-AF54-A20FFEC4A9BE}" name="PivotTable40" cacheId="9006" applyNumberFormats="0" applyBorderFormats="0" applyFontFormats="0" applyPatternFormats="0" applyAlignmentFormats="0" applyWidthHeightFormats="1" dataCaption="Values" tag="a69722aa-2882-4f27-8861-d6a315f5a72b" updatedVersion="8" minRefreshableVersion="3" useAutoFormatting="1" subtotalHiddenItems="1" rowGrandTotals="0" colGrandTotals="0" itemPrintTitles="1" createdVersion="8" indent="0" outline="1" outlineData="1" multipleFieldFilters="0" chartFormat="14">
  <location ref="B34:D4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fld="2" subtotal="count"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9DBBF51-C2CF-4516-86E3-692E841E2698}" name="PivotTable42" cacheId="9012" applyNumberFormats="0" applyBorderFormats="0" applyFontFormats="0" applyPatternFormats="0" applyAlignmentFormats="0" applyWidthHeightFormats="1" dataCaption="Values" tag="346afe49-f766-4fdf-9612-e6499014916f" updatedVersion="8" minRefreshableVersion="3" useAutoFormatting="1" subtotalHiddenItems="1" itemPrintTitles="1" createdVersion="8" indent="0" outline="1" outlineData="1" multipleFieldFilters="0">
  <location ref="C68:G6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87168F1-4E70-4853-95B8-6FFA31155939}" name="PivotTable52" cacheId="9039" applyNumberFormats="0" applyBorderFormats="0" applyFontFormats="0" applyPatternFormats="0" applyAlignmentFormats="0" applyWidthHeightFormats="1" dataCaption="Values" tag="b306edba-55cb-48c7-8fb5-c819e92fe3e4" updatedVersion="8" minRefreshableVersion="3" useAutoFormatting="1" subtotalHiddenItems="1" rowGrandTotals="0" colGrandTotals="0" itemPrintTitles="1" createdVersion="8" indent="0" outline="1" outlineData="1" multipleFieldFilters="0" chartFormat="5" rowHeaderCaption="Sales rep">
  <location ref="Q166:R17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x v="4"/>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s>
  <pivotHierarchies count="35">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CC00AF4-915A-4736-8EE2-723E2E1B440F}" autoFormatId="16" applyNumberFormats="0" applyBorderFormats="0" applyFontFormats="0" applyPatternFormats="0" applyAlignmentFormats="0" applyWidthHeightFormats="0">
  <queryTableRefresh nextId="11">
    <queryTableFields count="10">
      <queryTableField id="1" name="country" tableColumnId="1"/>
      <queryTableField id="2" name="order_value_EUR" tableColumnId="2"/>
      <queryTableField id="3" name="cost" tableColumnId="3"/>
      <queryTableField id="4" name="date" tableColumnId="4"/>
      <queryTableField id="5" name="category" tableColumnId="5"/>
      <queryTableField id="6" name="customer_name" tableColumnId="6"/>
      <queryTableField id="7" name="sales_manager" tableColumnId="7"/>
      <queryTableField id="8" name="sales_rep" tableColumnId="8"/>
      <queryTableField id="9" name="device_type" tableColumnId="9"/>
      <queryTableField id="10" name="order_i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C178E686-2AB8-40DB-BCEC-7E1C0DCFFBDB}" autoFormatId="16" applyNumberFormats="0" applyBorderFormats="0" applyFontFormats="0" applyPatternFormats="0" applyAlignmentFormats="0" applyWidthHeightFormats="0">
  <queryTableRefresh nextId="4">
    <queryTableFields count="3">
      <queryTableField id="1" name="country" tableColumnId="1"/>
      <queryTableField id="2" name="category" tableColumnId="2"/>
      <queryTableField id="3" name="avg_order_valu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D956F909-DE0B-40AA-9199-1BF2A849BC5B}" autoFormatId="16" applyNumberFormats="0" applyBorderFormats="0" applyFontFormats="0" applyPatternFormats="0" applyAlignmentFormats="0" applyWidthHeightFormats="0">
  <queryTableRefresh nextId="20">
    <queryTableFields count="16">
      <queryTableField id="1" name="country" tableColumnId="1"/>
      <queryTableField id="2" name="Order_value_EUR_cleaned" tableColumnId="2"/>
      <queryTableField id="11" name="Cost Cleaned" tableColumnId="11"/>
      <queryTableField id="4" name="date" tableColumnId="4"/>
      <queryTableField id="5" name="category" tableColumnId="5"/>
      <queryTableField id="6" name="customer_name" tableColumnId="6"/>
      <queryTableField id="7" name="sales_manager" tableColumnId="7"/>
      <queryTableField id="8" name="sales_rep" tableColumnId="8"/>
      <queryTableField id="9" name="device_type" tableColumnId="9"/>
      <queryTableField id="10" name="order_id" tableColumnId="10"/>
      <queryTableField id="12" name="Profit" tableColumnId="12"/>
      <queryTableField id="13" name="Profit Margin %" tableColumnId="13"/>
      <queryTableField id="14" name="Year" tableColumnId="14"/>
      <queryTableField id="15" name="Month" tableColumnId="15"/>
      <queryTableField id="18" name="MonthNumber" tableColumnId="3"/>
      <queryTableField id="19" name="Seas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25152B-5760-4BF9-9E2C-FF54ACF860B3}" sourceName="[Sales_data_Cleaned].[country]">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country].[(All)]" sourceCaption="(All)" count="0"/>
        <level uniqueName="[Sales_data_Cleaned].[country].[country]" sourceCaption="country" count="15">
          <ranges>
            <range startItem="0">
              <i n="[Sales_data_Cleaned].[country].&amp;[Austria]" c="Austria"/>
              <i n="[Sales_data_Cleaned].[country].&amp;[Belgium]" c="Belgium"/>
              <i n="[Sales_data_Cleaned].[country].&amp;[Bulgaria]" c="Bulgaria"/>
              <i n="[Sales_data_Cleaned].[country].&amp;[Denmark]" c="Denmark"/>
              <i n="[Sales_data_Cleaned].[country].&amp;[Finland]" c="Finland"/>
              <i n="[Sales_data_Cleaned].[country].&amp;[France]" c="France"/>
              <i n="[Sales_data_Cleaned].[country].&amp;[Germany]" c="Germany"/>
              <i n="[Sales_data_Cleaned].[country].&amp;[Ireland]" c="Ireland"/>
              <i n="[Sales_data_Cleaned].[country].&amp;[Italy]" c="Italy"/>
              <i n="[Sales_data_Cleaned].[country].&amp;[Luxembourg]" c="Luxembourg"/>
              <i n="[Sales_data_Cleaned].[country].&amp;[Netherlands]" c="Netherlands"/>
              <i n="[Sales_data_Cleaned].[country].&amp;[Portugal]" c="Portugal"/>
              <i n="[Sales_data_Cleaned].[country].&amp;[Spain]" c="Spain"/>
              <i n="[Sales_data_Cleaned].[country].&amp;[Sweden]" c="Sweden"/>
              <i n="[Sales_data_Cleaned].[country].&amp;[UK]" c="UK"/>
            </range>
          </ranges>
        </level>
      </levels>
      <selections count="1">
        <selection n="[Sales_data_Cleaned].[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850292-43D0-4E02-9819-C5181FD959E7}" sourceName="[Sales_data_Cleaned].[category]">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category].[(All)]" sourceCaption="(All)" count="0"/>
        <level uniqueName="[Sales_data_Cleaned].[category].[category]" sourceCaption="category" count="10">
          <ranges>
            <range startItem="0">
              <i n="[Sales_data_Cleaned].[category].&amp;[Accessories]" c="Accessories"/>
              <i n="[Sales_data_Cleaned].[category].&amp;[Appliances]" c="Appliances"/>
              <i n="[Sales_data_Cleaned].[category].&amp;[Beauty]" c="Beauty"/>
              <i n="[Sales_data_Cleaned].[category].&amp;[Books]" c="Books"/>
              <i n="[Sales_data_Cleaned].[category].&amp;[Clothing]" c="Clothing"/>
              <i n="[Sales_data_Cleaned].[category].&amp;[Electronics]" c="Electronics"/>
              <i n="[Sales_data_Cleaned].[category].&amp;[Games]" c="Games"/>
              <i n="[Sales_data_Cleaned].[category].&amp;[Other]" c="Other"/>
              <i n="[Sales_data_Cleaned].[category].&amp;[Outdoors]" c="Outdoors"/>
              <i n="[Sales_data_Cleaned].[category].&amp;[Smartphones]" c="Smartphones"/>
            </range>
          </ranges>
        </level>
      </levels>
      <selections count="1">
        <selection n="[Sales_data_Cleaned].[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F029686-11D4-4D5C-8BD9-04CBEA7F372C}" sourceName="[Sales_data_Cleaned].[date (Month)]">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date (Month)].[(All)]" sourceCaption="(All)" count="0"/>
        <level uniqueName="[Sales_data_Cleaned].[date (Month)].[date (Month)]" sourceCaption="date (Month)" count="12">
          <ranges>
            <range startItem="0">
              <i n="[Sales_data_Cleaned].[date (Month)].&amp;[Jan]" c="Jan"/>
              <i n="[Sales_data_Cleaned].[date (Month)].&amp;[Feb]" c="Feb"/>
              <i n="[Sales_data_Cleaned].[date (Month)].&amp;[Mar]" c="Mar"/>
              <i n="[Sales_data_Cleaned].[date (Month)].&amp;[Apr]" c="Apr"/>
              <i n="[Sales_data_Cleaned].[date (Month)].&amp;[May]" c="May"/>
              <i n="[Sales_data_Cleaned].[date (Month)].&amp;[Jun]" c="Jun"/>
              <i n="[Sales_data_Cleaned].[date (Month)].&amp;[Jul]" c="Jul"/>
              <i n="[Sales_data_Cleaned].[date (Month)].&amp;[Aug]" c="Aug"/>
              <i n="[Sales_data_Cleaned].[date (Month)].&amp;[Sep]" c="Sep"/>
              <i n="[Sales_data_Cleaned].[date (Month)].&amp;[Oct]" c="Oct"/>
              <i n="[Sales_data_Cleaned].[date (Month)].&amp;[Nov]" c="Nov"/>
              <i n="[Sales_data_Cleaned].[date (Month)].&amp;[Dec]" c="Dec"/>
            </range>
          </ranges>
        </level>
      </levels>
      <selections count="1">
        <selection n="[Sales_data_Cleaned].[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B647046-5744-4B7E-B0E4-F286F847CDCB}" sourceName="[Sales_data_Cleaned].[date (Year)]">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date (Year)].[(All)]" sourceCaption="(All)" count="0"/>
        <level uniqueName="[Sales_data_Cleaned].[date (Year)].[date (Year)]" sourceCaption="date (Year)" count="2">
          <ranges>
            <range startItem="0">
              <i n="[Sales_data_Cleaned].[date (Year)].&amp;[2019]" c="2019"/>
              <i n="[Sales_data_Cleaned].[date (Year)].&amp;[2020]" c="2020"/>
            </range>
          </ranges>
        </level>
      </levels>
      <selections count="1">
        <selection n="[Sales_data_Cleaned].[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5A0A4B78-77A3-4716-9888-1AAD54F275CB}" sourceName="[Sales_data_Cleaned].[device_type]">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device_type].[(All)]" sourceCaption="(All)" count="0"/>
        <level uniqueName="[Sales_data_Cleaned].[device_type].[device_type]" sourceCaption="device_type" count="4">
          <ranges>
            <range startItem="0">
              <i n="[Sales_data_Cleaned].[device_type].&amp;[Mobile]" c="Mobile"/>
              <i n="[Sales_data_Cleaned].[device_type].&amp;[PC]" c="PC"/>
              <i n="[Sales_data_Cleaned].[device_type].&amp;[Tablet]" c="Tablet"/>
              <i n="[Sales_data_Cleaned].[device_type].&amp;[Unidentified]" c="Unidentified"/>
            </range>
          </ranges>
        </level>
      </levels>
      <selections count="1">
        <selection n="[Sales_data_Cleaned].[device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31B0295-19C4-44B1-A6DC-C4016F3A5CE8}" sourceName="[Sales_data_Cleaned].[Season]">
  <pivotTables>
    <pivotTable tabId="5" name="PivotTable38"/>
    <pivotTable tabId="5" name="PivotTable39"/>
    <pivotTable tabId="5" name="PivotTable40"/>
    <pivotTable tabId="5" name="PivotTable41"/>
    <pivotTable tabId="5" name="PivotTable42"/>
    <pivotTable tabId="5" name="PivotTable43"/>
    <pivotTable tabId="5" name="PivotTable46"/>
    <pivotTable tabId="5" name="PivotTable47"/>
    <pivotTable tabId="5" name="PivotTable48"/>
    <pivotTable tabId="5" name="PivotTable49"/>
    <pivotTable tabId="5" name="PivotTable50"/>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Season].[(All)]" sourceCaption="(All)" count="0"/>
        <level uniqueName="[Sales_data_Cleaned].[Season].[Season]" sourceCaption="Season" count="4">
          <ranges>
            <range startItem="0">
              <i n="[Sales_data_Cleaned].[Season].&amp;[Autumn]" c="Autumn"/>
              <i n="[Sales_data_Cleaned].[Season].&amp;[Spring]" c="Spring"/>
              <i n="[Sales_data_Cleaned].[Season].&amp;[Summer]" c="Summer"/>
              <i n="[Sales_data_Cleaned].[Season].&amp;[Winter]" c="Winter"/>
            </range>
          </ranges>
        </level>
      </levels>
      <selections count="1">
        <selection n="[Sales_data_Cleaned].[Seas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 xr10:uid="{C2689904-84CA-4106-B8EA-D307DB156CD8}" sourceName="[Sales_data_Cleaned].[sales_manager]">
  <pivotTables>
    <pivotTable tabId="5" name="PivotTable38"/>
    <pivotTable tabId="5" name="PivotTable39"/>
    <pivotTable tabId="5" name="PivotTable40"/>
    <pivotTable tabId="5" name="PivotTable41"/>
    <pivotTable tabId="5" name="PivotTable42"/>
    <pivotTable tabId="5" name="PivotTable43"/>
    <pivotTable tabId="5" name="PivotTable44"/>
    <pivotTable tabId="5" name="PivotTable46"/>
    <pivotTable tabId="5" name="PivotTable47"/>
    <pivotTable tabId="5" name="PivotTable48"/>
    <pivotTable tabId="5" name="PivotTable49"/>
    <pivotTable tabId="5" name="PivotTable50"/>
    <pivotTable tabId="5" name="PivotTable51"/>
    <pivotTable tabId="5" name="PivotTable52"/>
    <pivotTable tabId="5" name="PivotTable53"/>
    <pivotTable tabId="1" name="PivotTable17"/>
    <pivotTable tabId="1" name="PivotTable19"/>
    <pivotTable tabId="1" name="PivotTable20"/>
    <pivotTable tabId="1" name="PivotTable22"/>
    <pivotTable tabId="1" name="PivotTable24"/>
    <pivotTable tabId="1" name="PivotTable27"/>
    <pivotTable tabId="1" name="PivotTable28"/>
    <pivotTable tabId="1" name="PivotTable29"/>
    <pivotTable tabId="1" name="PivotTable3"/>
    <pivotTable tabId="1" name="PivotTable30"/>
    <pivotTable tabId="1" name="PivotTable32"/>
    <pivotTable tabId="1" name="PivotTable33"/>
    <pivotTable tabId="1" name="PivotTable34"/>
    <pivotTable tabId="1" name="PivotTable35"/>
    <pivotTable tabId="1" name="PivotTable36"/>
    <pivotTable tabId="1" name="PivotTable4"/>
    <pivotTable tabId="1" name="PivotTable7"/>
    <pivotTable tabId="5" name="PivotTable1"/>
  </pivotTables>
  <data>
    <olap pivotCacheId="1651977954">
      <levels count="2">
        <level uniqueName="[Sales_data_Cleaned].[sales_manager].[(All)]" sourceCaption="(All)" count="0"/>
        <level uniqueName="[Sales_data_Cleaned].[sales_manager].[sales_manager]" sourceCaption="sales_manager" count="15">
          <ranges>
            <range startItem="0">
              <i n="[Sales_data_Cleaned].[sales_manager].&amp;[Celine Tumasian]" c="Celine Tumasian"/>
              <i n="[Sales_data_Cleaned].[sales_manager].&amp;[Charil Alpe]" c="Charil Alpe"/>
              <i n="[Sales_data_Cleaned].[sales_manager].&amp;[Denice Amberg]" c="Denice Amberg"/>
              <i n="[Sales_data_Cleaned].[sales_manager].&amp;[Emalia Dinse]" c="Emalia Dinse"/>
              <i n="[Sales_data_Cleaned].[sales_manager].&amp;[Glenine Suttaby]" c="Glenine Suttaby"/>
              <i n="[Sales_data_Cleaned].[sales_manager].&amp;[Hube Corey]" c="Hube Corey"/>
              <i n="[Sales_data_Cleaned].[sales_manager].&amp;[Ilsa Kob]" c="Ilsa Kob"/>
              <i n="[Sales_data_Cleaned].[sales_manager].&amp;[Jessamine Apark]" c="Jessamine Apark"/>
              <i n="[Sales_data_Cleaned].[sales_manager].&amp;[Lambert Norheny]" c="Lambert Norheny"/>
              <i n="[Sales_data_Cleaned].[sales_manager].&amp;[Maxie Marrow]" c="Maxie Marrow"/>
              <i n="[Sales_data_Cleaned].[sales_manager].&amp;[Modestia Byfford]" c="Modestia Byfford"/>
              <i n="[Sales_data_Cleaned].[sales_manager].&amp;[Orsa Geekin]" c="Orsa Geekin"/>
              <i n="[Sales_data_Cleaned].[sales_manager].&amp;[Othello Bowes]" c="Othello Bowes"/>
              <i n="[Sales_data_Cleaned].[sales_manager].&amp;[Piggy Roscrigg]" c="Piggy Roscrigg"/>
              <i n="[Sales_data_Cleaned].[sales_manager].&amp;[Rickard Doogood]" c="Rickard Doogood"/>
            </range>
          </ranges>
        </level>
      </levels>
      <selections count="1">
        <selection n="[Sales_data_Cleaned].[sales_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560575D-A975-48B6-9BC8-5AF47ED1A485}" cache="Slicer_country" caption="country" level="1" rowHeight="247650"/>
  <slicer name="category" xr10:uid="{3807D259-809D-457B-A820-998AF6CDDBB5}" cache="Slicer_category" caption="category" level="1" rowHeight="247650"/>
  <slicer name="date (Month)" xr10:uid="{8D52B318-F47A-49A4-9E8B-707F9B9CB6D4}" cache="Slicer_date__Month" caption="date (Month)" startItem="5" level="1" rowHeight="247650"/>
  <slicer name="date (Year)" xr10:uid="{5A29B761-5B10-47D1-AD6D-0819ACE36932}" cache="Slicer_date__Year" caption="date (Year)" level="1" rowHeight="247650"/>
  <slicer name="device_type" xr10:uid="{20142E93-646B-4743-8AFA-A16E9787819A}" cache="Slicer_device_type" caption="device_type" startItem="2" level="1" rowHeight="247650"/>
  <slicer name="Season" xr10:uid="{31266967-8E60-4249-AF51-4997D7D05110}" cache="Slicer_Season" caption="Season" level="1" rowHeight="247650"/>
  <slicer name="sales_manager" xr10:uid="{B29A9BEB-AD3E-4A68-9545-D161A262050F}" cache="Slicer_sales_manager" caption="sales_manag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615ED5-5607-4BC5-98F5-44AC60A1A312}" name="sales_data" displayName="sales_data" ref="A1:J1002" tableType="queryTable" totalsRowShown="0">
  <autoFilter ref="A1:J1002" xr:uid="{90615ED5-5607-4BC5-98F5-44AC60A1A312}"/>
  <tableColumns count="10">
    <tableColumn id="1" xr3:uid="{07F6EE1B-A880-4D45-9F54-6655F6D78A19}" uniqueName="1" name="country" queryTableFieldId="1" dataDxfId="13"/>
    <tableColumn id="2" xr3:uid="{A747BA9E-6EA1-4947-A47F-F42A180EFBF5}" uniqueName="2" name="order_value_EUR" queryTableFieldId="2"/>
    <tableColumn id="3" xr3:uid="{6D7873B0-6674-4828-9640-EF22AAA20A0A}" uniqueName="3" name="cost" queryTableFieldId="3" dataDxfId="12"/>
    <tableColumn id="4" xr3:uid="{E3DB640B-2CFD-48E5-90CC-A944D72607B1}" uniqueName="4" name="date" queryTableFieldId="4" dataDxfId="1"/>
    <tableColumn id="5" xr3:uid="{99402126-2010-4200-AE45-2BADCA8FD223}" uniqueName="5" name="category" queryTableFieldId="5" dataDxfId="11"/>
    <tableColumn id="6" xr3:uid="{733EF24E-755A-489F-AEBC-928FAD25D321}" uniqueName="6" name="customer_name" queryTableFieldId="6" dataDxfId="10"/>
    <tableColumn id="7" xr3:uid="{F1DE470F-B2B1-4CF9-9421-B4C0AA4E244E}" uniqueName="7" name="sales_manager" queryTableFieldId="7" dataDxfId="9"/>
    <tableColumn id="8" xr3:uid="{9E34E375-00D6-4B0D-BD56-83C3CEC8E428}" uniqueName="8" name="sales_rep" queryTableFieldId="8" dataDxfId="8"/>
    <tableColumn id="9" xr3:uid="{14BAB95D-A68E-439A-BE7E-DCFD7043EC85}" uniqueName="9" name="device_type" queryTableFieldId="9" dataDxfId="7"/>
    <tableColumn id="10" xr3:uid="{93BC28BA-2EB9-45B9-96DA-C13C5243EA53}" uniqueName="10" name="order_id" queryTableFieldId="10"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4334F1-932F-4C03-ACFE-8DD84A42BD02}" name="Grouped" displayName="Grouped" ref="A1:C123" tableType="queryTable" totalsRowShown="0">
  <autoFilter ref="A1:C123" xr:uid="{6D4334F1-932F-4C03-ACFE-8DD84A42BD02}"/>
  <tableColumns count="3">
    <tableColumn id="1" xr3:uid="{1AD076F1-A619-4874-8ED5-1588B67F8E65}" uniqueName="1" name="country" queryTableFieldId="1" dataDxfId="5"/>
    <tableColumn id="2" xr3:uid="{AED196E7-9E56-4D98-B9B8-39E967605757}" uniqueName="2" name="category" queryTableFieldId="2" dataDxfId="4"/>
    <tableColumn id="3" xr3:uid="{508FF505-4453-4CAE-9919-259A8467712D}" uniqueName="3" name="avg_order_valu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4DEEC9-2A29-4818-8042-1DA515229507}" name="Sales_data_Cleaned" displayName="Sales_data_Cleaned" ref="A1:P1002" tableType="queryTable" totalsRowShown="0">
  <autoFilter ref="A1:P1002" xr:uid="{E94DEEC9-2A29-4818-8042-1DA515229507}"/>
  <tableColumns count="16">
    <tableColumn id="1" xr3:uid="{134450E0-A75E-4D9C-A711-C4FEEB29CBA1}" uniqueName="1" name="country" queryTableFieldId="1" dataDxfId="3"/>
    <tableColumn id="2" xr3:uid="{A43CC670-6F04-4D98-BB2A-2338B9B247DD}" uniqueName="2" name="Order_value_EUR_cleaned" queryTableFieldId="2"/>
    <tableColumn id="11" xr3:uid="{8FB64260-69EA-441C-A40B-DB7C669A3920}" uniqueName="11" name="Cost Cleaned" queryTableFieldId="11"/>
    <tableColumn id="4" xr3:uid="{C0A6E484-B135-4983-B960-9BD7A0ECCEE1}" uniqueName="4" name="date" queryTableFieldId="4" dataDxfId="0"/>
    <tableColumn id="5" xr3:uid="{88FDB593-C38B-4041-8541-0700EBCBB4E7}" uniqueName="5" name="category" queryTableFieldId="5" dataDxfId="2"/>
    <tableColumn id="6" xr3:uid="{2B743AC5-4E7B-4A45-A773-6B25E9C1B8A6}" uniqueName="6" name="customer_name" queryTableFieldId="6"/>
    <tableColumn id="7" xr3:uid="{2A630AA8-49F5-4289-82AB-654A80DE9106}" uniqueName="7" name="sales_manager" queryTableFieldId="7"/>
    <tableColumn id="8" xr3:uid="{73B7968E-FA1C-4520-960D-2E4DE2AC391F}" uniqueName="8" name="sales_rep" queryTableFieldId="8"/>
    <tableColumn id="9" xr3:uid="{F73CEEB7-D783-4FE9-98C0-628727AA3C53}" uniqueName="9" name="device_type" queryTableFieldId="9"/>
    <tableColumn id="10" xr3:uid="{16D624E5-BB1D-4F61-8373-6ACF32A5AA33}" uniqueName="10" name="order_id" queryTableFieldId="10"/>
    <tableColumn id="12" xr3:uid="{F35E309F-356D-4D46-A5CD-430FFCF65FE4}" uniqueName="12" name="Profit" queryTableFieldId="12"/>
    <tableColumn id="13" xr3:uid="{E598D9EA-61EC-407E-919E-59E53C6B5081}" uniqueName="13" name="Profit Margin %" queryTableFieldId="13"/>
    <tableColumn id="14" xr3:uid="{500128F0-C1ED-45F3-A213-E4FAE990D963}" uniqueName="14" name="Year" queryTableFieldId="14"/>
    <tableColumn id="15" xr3:uid="{2E7330DB-62AF-47BA-8FD6-F46FD556AFA0}" uniqueName="15" name="Month" queryTableFieldId="15"/>
    <tableColumn id="3" xr3:uid="{B9A6734B-3469-42F3-96DA-F2D942D86335}" uniqueName="3" name="MonthNumber" queryTableFieldId="18"/>
    <tableColumn id="16" xr3:uid="{A2FDDE2E-807A-46D4-B2AA-A4A0378E7AF9}" uniqueName="16" name="Season"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drawing" Target="../drawings/drawing1.xml"/><Relationship Id="rId2" Type="http://schemas.openxmlformats.org/officeDocument/2006/relationships/pivotTable" Target="../pivotTables/pivotTable19.xml"/><Relationship Id="rId16" Type="http://schemas.openxmlformats.org/officeDocument/2006/relationships/pivotTable" Target="../pivotTables/pivotTable33.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3DBDE-A15E-496F-A63B-418078B1407A}">
  <dimension ref="A1:J1002"/>
  <sheetViews>
    <sheetView workbookViewId="0">
      <selection activeCell="M9" sqref="M9"/>
    </sheetView>
  </sheetViews>
  <sheetFormatPr defaultRowHeight="14.4" x14ac:dyDescent="0.3"/>
  <cols>
    <col min="1" max="1" width="10.88671875" bestFit="1" customWidth="1"/>
    <col min="2" max="2" width="17.109375" bestFit="1" customWidth="1"/>
    <col min="3" max="3" width="10" bestFit="1" customWidth="1"/>
    <col min="4" max="4" width="10.33203125" bestFit="1" customWidth="1"/>
    <col min="5" max="5" width="11.6640625" bestFit="1" customWidth="1"/>
    <col min="6" max="6" width="30.88671875" bestFit="1" customWidth="1"/>
    <col min="7" max="7" width="15.6640625" bestFit="1" customWidth="1"/>
    <col min="8" max="8" width="17" bestFit="1" customWidth="1"/>
    <col min="9" max="9" width="13.21875" bestFit="1" customWidth="1"/>
    <col min="10" max="10" width="10.66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98320.37</v>
      </c>
      <c r="C2">
        <v>77722.25</v>
      </c>
      <c r="D2" s="1">
        <v>44066</v>
      </c>
      <c r="E2" t="s">
        <v>11</v>
      </c>
      <c r="F2" t="s">
        <v>12</v>
      </c>
      <c r="G2" t="s">
        <v>13</v>
      </c>
      <c r="H2" t="s">
        <v>14</v>
      </c>
      <c r="I2" t="s">
        <v>15</v>
      </c>
      <c r="J2" t="s">
        <v>16</v>
      </c>
    </row>
    <row r="3" spans="1:10" x14ac:dyDescent="0.3">
      <c r="A3" t="s">
        <v>17</v>
      </c>
      <c r="B3">
        <v>46296.26</v>
      </c>
      <c r="C3">
        <v>40319.410000000003</v>
      </c>
      <c r="D3" s="1">
        <v>43966</v>
      </c>
      <c r="E3" t="s">
        <v>11</v>
      </c>
      <c r="F3" t="s">
        <v>18</v>
      </c>
      <c r="G3" t="s">
        <v>19</v>
      </c>
      <c r="H3" t="s">
        <v>20</v>
      </c>
      <c r="I3" t="s">
        <v>15</v>
      </c>
      <c r="J3" t="s">
        <v>21</v>
      </c>
    </row>
    <row r="4" spans="1:10" x14ac:dyDescent="0.3">
      <c r="A4" t="s">
        <v>22</v>
      </c>
      <c r="B4">
        <v>140337.34</v>
      </c>
      <c r="C4">
        <v>115708.14</v>
      </c>
      <c r="D4" s="1">
        <v>43930</v>
      </c>
      <c r="E4" t="s">
        <v>23</v>
      </c>
      <c r="F4" t="s">
        <v>24</v>
      </c>
      <c r="G4" t="s">
        <v>25</v>
      </c>
      <c r="H4" t="s">
        <v>26</v>
      </c>
      <c r="I4" t="s">
        <v>27</v>
      </c>
      <c r="J4" t="s">
        <v>28</v>
      </c>
    </row>
    <row r="5" spans="1:10" x14ac:dyDescent="0.3">
      <c r="A5" t="s">
        <v>17</v>
      </c>
      <c r="B5">
        <v>203604.46</v>
      </c>
      <c r="C5">
        <v>175344.16</v>
      </c>
      <c r="D5" s="1">
        <v>43642</v>
      </c>
      <c r="E5" t="s">
        <v>29</v>
      </c>
      <c r="F5" t="s">
        <v>30</v>
      </c>
      <c r="G5" t="s">
        <v>19</v>
      </c>
      <c r="H5" t="s">
        <v>31</v>
      </c>
      <c r="I5" t="s">
        <v>32</v>
      </c>
      <c r="J5" t="s">
        <v>33</v>
      </c>
    </row>
    <row r="6" spans="1:10" x14ac:dyDescent="0.3">
      <c r="A6" t="s">
        <v>34</v>
      </c>
      <c r="B6">
        <v>63979.040000000001</v>
      </c>
      <c r="C6">
        <v>56032.84</v>
      </c>
      <c r="D6" s="1">
        <v>43760</v>
      </c>
      <c r="E6" t="s">
        <v>11</v>
      </c>
      <c r="F6" t="s">
        <v>35</v>
      </c>
      <c r="G6" t="s">
        <v>36</v>
      </c>
      <c r="H6" t="s">
        <v>37</v>
      </c>
      <c r="I6" t="s">
        <v>27</v>
      </c>
      <c r="J6" t="s">
        <v>38</v>
      </c>
    </row>
    <row r="7" spans="1:10" x14ac:dyDescent="0.3">
      <c r="A7" t="s">
        <v>39</v>
      </c>
      <c r="B7">
        <v>127075.41</v>
      </c>
      <c r="C7">
        <v>110924.13</v>
      </c>
      <c r="D7" s="1">
        <v>43732</v>
      </c>
      <c r="E7" t="s">
        <v>40</v>
      </c>
      <c r="F7" t="s">
        <v>41</v>
      </c>
      <c r="G7" t="s">
        <v>42</v>
      </c>
      <c r="H7" t="s">
        <v>43</v>
      </c>
      <c r="I7" t="s">
        <v>27</v>
      </c>
      <c r="J7" t="s">
        <v>44</v>
      </c>
    </row>
    <row r="8" spans="1:10" x14ac:dyDescent="0.3">
      <c r="A8" t="s">
        <v>10</v>
      </c>
      <c r="B8">
        <v>69681.429999999993</v>
      </c>
      <c r="C8">
        <v>55529.13</v>
      </c>
      <c r="D8" s="1">
        <v>43855</v>
      </c>
      <c r="E8" t="s">
        <v>40</v>
      </c>
      <c r="F8" t="s">
        <v>45</v>
      </c>
      <c r="G8" t="s">
        <v>13</v>
      </c>
      <c r="H8" t="s">
        <v>46</v>
      </c>
      <c r="I8" t="s">
        <v>27</v>
      </c>
      <c r="J8" t="s">
        <v>47</v>
      </c>
    </row>
    <row r="9" spans="1:10" x14ac:dyDescent="0.3">
      <c r="A9" t="s">
        <v>17</v>
      </c>
      <c r="B9">
        <v>96795.99</v>
      </c>
      <c r="C9">
        <v>81395.75</v>
      </c>
      <c r="D9" s="1">
        <v>43637</v>
      </c>
      <c r="E9" t="s">
        <v>23</v>
      </c>
      <c r="F9" t="s">
        <v>48</v>
      </c>
      <c r="G9" t="s">
        <v>19</v>
      </c>
      <c r="H9" t="s">
        <v>49</v>
      </c>
      <c r="I9" t="s">
        <v>27</v>
      </c>
      <c r="J9" t="s">
        <v>50</v>
      </c>
    </row>
    <row r="10" spans="1:10" x14ac:dyDescent="0.3">
      <c r="A10" t="s">
        <v>22</v>
      </c>
      <c r="B10">
        <v>144725.34</v>
      </c>
      <c r="C10">
        <v>115056.65</v>
      </c>
      <c r="D10" s="1">
        <v>43480</v>
      </c>
      <c r="E10" t="s">
        <v>51</v>
      </c>
      <c r="F10" t="s">
        <v>18</v>
      </c>
      <c r="G10" t="s">
        <v>25</v>
      </c>
      <c r="H10" t="s">
        <v>52</v>
      </c>
      <c r="I10" t="s">
        <v>27</v>
      </c>
      <c r="J10" t="s">
        <v>53</v>
      </c>
    </row>
    <row r="11" spans="1:10" x14ac:dyDescent="0.3">
      <c r="A11" t="s">
        <v>54</v>
      </c>
      <c r="B11">
        <v>32695.37</v>
      </c>
      <c r="C11">
        <v>26375.35</v>
      </c>
      <c r="D11" s="1">
        <v>44163</v>
      </c>
      <c r="E11" t="s">
        <v>55</v>
      </c>
      <c r="F11" t="s">
        <v>56</v>
      </c>
      <c r="G11" t="s">
        <v>57</v>
      </c>
      <c r="H11" t="s">
        <v>58</v>
      </c>
      <c r="I11" t="s">
        <v>32</v>
      </c>
      <c r="J11" t="s">
        <v>59</v>
      </c>
    </row>
    <row r="12" spans="1:10" x14ac:dyDescent="0.3">
      <c r="A12" t="s">
        <v>22</v>
      </c>
      <c r="B12">
        <v>121318.55</v>
      </c>
      <c r="C12">
        <v>102890.26</v>
      </c>
      <c r="D12" s="1">
        <v>44107</v>
      </c>
      <c r="E12" t="s">
        <v>29</v>
      </c>
      <c r="F12" t="s">
        <v>60</v>
      </c>
      <c r="G12" t="s">
        <v>25</v>
      </c>
      <c r="H12" t="s">
        <v>52</v>
      </c>
      <c r="I12" t="s">
        <v>15</v>
      </c>
      <c r="J12" t="s">
        <v>61</v>
      </c>
    </row>
    <row r="13" spans="1:10" x14ac:dyDescent="0.3">
      <c r="A13" t="s">
        <v>22</v>
      </c>
      <c r="B13">
        <v>147092.62</v>
      </c>
      <c r="C13">
        <v>117806.48</v>
      </c>
      <c r="D13" s="1">
        <v>44135</v>
      </c>
      <c r="E13" t="s">
        <v>40</v>
      </c>
      <c r="F13" t="s">
        <v>62</v>
      </c>
      <c r="G13" t="s">
        <v>25</v>
      </c>
      <c r="H13" t="s">
        <v>63</v>
      </c>
      <c r="I13" t="s">
        <v>27</v>
      </c>
      <c r="J13" t="s">
        <v>64</v>
      </c>
    </row>
    <row r="14" spans="1:10" x14ac:dyDescent="0.3">
      <c r="A14" t="s">
        <v>22</v>
      </c>
      <c r="B14">
        <v>187874.45</v>
      </c>
      <c r="C14">
        <v>160031.46</v>
      </c>
      <c r="D14" s="1">
        <v>43642</v>
      </c>
      <c r="E14" t="s">
        <v>55</v>
      </c>
      <c r="F14" t="s">
        <v>56</v>
      </c>
      <c r="G14" t="s">
        <v>25</v>
      </c>
      <c r="H14" t="s">
        <v>63</v>
      </c>
      <c r="I14" t="s">
        <v>27</v>
      </c>
      <c r="J14" t="s">
        <v>65</v>
      </c>
    </row>
    <row r="15" spans="1:10" x14ac:dyDescent="0.3">
      <c r="A15" t="s">
        <v>66</v>
      </c>
      <c r="B15">
        <v>256603.66</v>
      </c>
      <c r="C15">
        <v>209799.15</v>
      </c>
      <c r="D15" s="1">
        <v>43673</v>
      </c>
      <c r="E15" t="s">
        <v>51</v>
      </c>
      <c r="F15" t="s">
        <v>67</v>
      </c>
      <c r="G15" t="s">
        <v>68</v>
      </c>
      <c r="H15" t="s">
        <v>69</v>
      </c>
      <c r="I15" t="s">
        <v>15</v>
      </c>
      <c r="J15" t="s">
        <v>70</v>
      </c>
    </row>
    <row r="16" spans="1:10" x14ac:dyDescent="0.3">
      <c r="A16" t="s">
        <v>10</v>
      </c>
      <c r="B16">
        <v>69626.39</v>
      </c>
      <c r="C16">
        <v>57295.56</v>
      </c>
      <c r="D16" s="1">
        <v>43631</v>
      </c>
      <c r="E16" t="s">
        <v>29</v>
      </c>
      <c r="F16" t="s">
        <v>71</v>
      </c>
      <c r="G16" t="s">
        <v>13</v>
      </c>
      <c r="H16" t="s">
        <v>72</v>
      </c>
      <c r="I16" t="s">
        <v>27</v>
      </c>
      <c r="J16" t="s">
        <v>73</v>
      </c>
    </row>
    <row r="17" spans="1:10" x14ac:dyDescent="0.3">
      <c r="A17" t="s">
        <v>22</v>
      </c>
      <c r="B17">
        <v>153029.72</v>
      </c>
      <c r="C17">
        <v>125117.1</v>
      </c>
      <c r="D17" s="1">
        <v>43858</v>
      </c>
      <c r="E17" t="s">
        <v>11</v>
      </c>
      <c r="F17" t="s">
        <v>74</v>
      </c>
      <c r="G17" t="s">
        <v>25</v>
      </c>
      <c r="H17" t="s">
        <v>26</v>
      </c>
      <c r="I17" t="s">
        <v>27</v>
      </c>
      <c r="J17" t="s">
        <v>75</v>
      </c>
    </row>
    <row r="18" spans="1:10" x14ac:dyDescent="0.3">
      <c r="A18" t="s">
        <v>17</v>
      </c>
      <c r="B18">
        <v>65193.88</v>
      </c>
      <c r="C18">
        <v>53113.45</v>
      </c>
      <c r="D18" s="1">
        <v>43565</v>
      </c>
      <c r="E18" t="s">
        <v>76</v>
      </c>
      <c r="F18" t="s">
        <v>77</v>
      </c>
      <c r="G18" t="s">
        <v>19</v>
      </c>
      <c r="H18" t="s">
        <v>78</v>
      </c>
      <c r="I18" t="s">
        <v>27</v>
      </c>
      <c r="J18" t="s">
        <v>79</v>
      </c>
    </row>
    <row r="19" spans="1:10" x14ac:dyDescent="0.3">
      <c r="A19" t="s">
        <v>10</v>
      </c>
      <c r="B19">
        <v>15817.05</v>
      </c>
      <c r="C19">
        <v>13743.44</v>
      </c>
      <c r="D19" s="1">
        <v>43741</v>
      </c>
      <c r="E19" t="s">
        <v>40</v>
      </c>
      <c r="F19" t="s">
        <v>80</v>
      </c>
      <c r="G19" t="s">
        <v>13</v>
      </c>
      <c r="H19" t="s">
        <v>81</v>
      </c>
      <c r="I19" t="s">
        <v>27</v>
      </c>
      <c r="J19" t="s">
        <v>82</v>
      </c>
    </row>
    <row r="20" spans="1:10" x14ac:dyDescent="0.3">
      <c r="A20" t="s">
        <v>17</v>
      </c>
      <c r="B20">
        <v>54079.040000000001</v>
      </c>
      <c r="C20">
        <v>45031.62</v>
      </c>
      <c r="D20" s="1">
        <v>43980</v>
      </c>
      <c r="E20" t="s">
        <v>11</v>
      </c>
      <c r="F20" t="s">
        <v>83</v>
      </c>
      <c r="G20" t="s">
        <v>19</v>
      </c>
      <c r="H20" t="s">
        <v>49</v>
      </c>
      <c r="I20" t="s">
        <v>27</v>
      </c>
      <c r="J20" t="s">
        <v>84</v>
      </c>
    </row>
    <row r="21" spans="1:10" x14ac:dyDescent="0.3">
      <c r="A21" t="s">
        <v>22</v>
      </c>
      <c r="B21">
        <v>168757.23</v>
      </c>
      <c r="C21">
        <v>136895.85999999999</v>
      </c>
      <c r="D21" s="1">
        <v>44067</v>
      </c>
      <c r="E21" t="s">
        <v>23</v>
      </c>
      <c r="F21" t="s">
        <v>41</v>
      </c>
      <c r="G21" t="s">
        <v>25</v>
      </c>
      <c r="H21" t="s">
        <v>52</v>
      </c>
      <c r="I21" t="s">
        <v>27</v>
      </c>
      <c r="J21" t="s">
        <v>85</v>
      </c>
    </row>
    <row r="22" spans="1:10" x14ac:dyDescent="0.3">
      <c r="A22" t="s">
        <v>22</v>
      </c>
      <c r="B22">
        <v>101923.36</v>
      </c>
      <c r="C22">
        <v>86115.05</v>
      </c>
      <c r="D22" s="1">
        <v>43484</v>
      </c>
      <c r="E22" t="s">
        <v>76</v>
      </c>
      <c r="F22" t="s">
        <v>86</v>
      </c>
      <c r="G22" t="s">
        <v>25</v>
      </c>
      <c r="H22" t="s">
        <v>87</v>
      </c>
      <c r="I22" t="s">
        <v>32</v>
      </c>
      <c r="J22" t="s">
        <v>88</v>
      </c>
    </row>
    <row r="23" spans="1:10" x14ac:dyDescent="0.3">
      <c r="A23" t="s">
        <v>17</v>
      </c>
      <c r="B23">
        <v>89160.66</v>
      </c>
      <c r="C23">
        <v>75367.509999999995</v>
      </c>
      <c r="D23" s="1">
        <v>43787</v>
      </c>
      <c r="E23" t="s">
        <v>76</v>
      </c>
      <c r="F23" t="s">
        <v>89</v>
      </c>
      <c r="G23" t="s">
        <v>19</v>
      </c>
      <c r="H23" t="s">
        <v>31</v>
      </c>
      <c r="I23" t="s">
        <v>27</v>
      </c>
      <c r="J23" t="s">
        <v>90</v>
      </c>
    </row>
    <row r="24" spans="1:10" x14ac:dyDescent="0.3">
      <c r="A24" t="s">
        <v>34</v>
      </c>
      <c r="B24">
        <v>77128.75</v>
      </c>
      <c r="C24">
        <v>65536.3</v>
      </c>
      <c r="D24" s="1">
        <v>44082</v>
      </c>
      <c r="E24" t="s">
        <v>91</v>
      </c>
      <c r="F24" t="s">
        <v>92</v>
      </c>
      <c r="G24" t="s">
        <v>36</v>
      </c>
      <c r="H24" t="s">
        <v>93</v>
      </c>
      <c r="I24" t="s">
        <v>32</v>
      </c>
      <c r="J24" t="s">
        <v>94</v>
      </c>
    </row>
    <row r="25" spans="1:10" x14ac:dyDescent="0.3">
      <c r="A25" t="s">
        <v>34</v>
      </c>
      <c r="B25">
        <v>63979.040000000001</v>
      </c>
      <c r="C25">
        <v>56032.84</v>
      </c>
      <c r="D25" s="1">
        <v>43760</v>
      </c>
      <c r="E25" t="s">
        <v>11</v>
      </c>
      <c r="F25" t="s">
        <v>35</v>
      </c>
      <c r="G25" t="s">
        <v>36</v>
      </c>
      <c r="H25" t="s">
        <v>37</v>
      </c>
      <c r="I25" t="s">
        <v>27</v>
      </c>
      <c r="J25" t="s">
        <v>38</v>
      </c>
    </row>
    <row r="26" spans="1:10" x14ac:dyDescent="0.3">
      <c r="A26" t="s">
        <v>10</v>
      </c>
      <c r="B26">
        <v>83897.88</v>
      </c>
      <c r="C26">
        <v>69559.73</v>
      </c>
      <c r="D26" s="1">
        <v>43542</v>
      </c>
      <c r="E26" t="s">
        <v>23</v>
      </c>
      <c r="F26" t="s">
        <v>95</v>
      </c>
      <c r="G26" t="s">
        <v>13</v>
      </c>
      <c r="H26" t="s">
        <v>81</v>
      </c>
      <c r="I26" t="s">
        <v>32</v>
      </c>
      <c r="J26" t="s">
        <v>96</v>
      </c>
    </row>
    <row r="27" spans="1:10" x14ac:dyDescent="0.3">
      <c r="A27" t="s">
        <v>22</v>
      </c>
      <c r="B27">
        <v>121928.48</v>
      </c>
      <c r="C27">
        <v>98408.48</v>
      </c>
      <c r="D27" s="1">
        <v>43727</v>
      </c>
      <c r="E27" t="s">
        <v>40</v>
      </c>
      <c r="F27" t="s">
        <v>97</v>
      </c>
      <c r="G27" t="s">
        <v>25</v>
      </c>
      <c r="H27" t="s">
        <v>87</v>
      </c>
      <c r="I27" t="s">
        <v>32</v>
      </c>
      <c r="J27" t="s">
        <v>98</v>
      </c>
    </row>
    <row r="28" spans="1:10" x14ac:dyDescent="0.3">
      <c r="A28" t="s">
        <v>10</v>
      </c>
      <c r="B28">
        <v>149376.26</v>
      </c>
      <c r="C28">
        <v>123653.67</v>
      </c>
      <c r="D28" s="1">
        <v>43861</v>
      </c>
      <c r="E28" t="s">
        <v>99</v>
      </c>
      <c r="F28" t="s">
        <v>62</v>
      </c>
      <c r="G28" t="s">
        <v>13</v>
      </c>
      <c r="H28" t="s">
        <v>46</v>
      </c>
      <c r="I28" t="s">
        <v>27</v>
      </c>
      <c r="J28" t="s">
        <v>100</v>
      </c>
    </row>
    <row r="29" spans="1:10" x14ac:dyDescent="0.3">
      <c r="A29" t="s">
        <v>22</v>
      </c>
      <c r="B29">
        <v>138127.81</v>
      </c>
      <c r="C29">
        <v>115240.03</v>
      </c>
      <c r="D29" s="1">
        <v>43975</v>
      </c>
      <c r="E29" t="s">
        <v>23</v>
      </c>
      <c r="F29" t="s">
        <v>71</v>
      </c>
      <c r="G29" t="s">
        <v>25</v>
      </c>
      <c r="H29" t="s">
        <v>26</v>
      </c>
      <c r="I29" t="s">
        <v>27</v>
      </c>
      <c r="J29" t="s">
        <v>101</v>
      </c>
    </row>
    <row r="30" spans="1:10" x14ac:dyDescent="0.3">
      <c r="A30" t="s">
        <v>22</v>
      </c>
      <c r="B30">
        <v>206869.73</v>
      </c>
      <c r="C30">
        <v>180928.27</v>
      </c>
      <c r="D30" s="1">
        <v>44032</v>
      </c>
      <c r="E30" t="s">
        <v>29</v>
      </c>
      <c r="F30" t="s">
        <v>102</v>
      </c>
      <c r="G30" t="s">
        <v>25</v>
      </c>
      <c r="H30" t="s">
        <v>26</v>
      </c>
      <c r="I30" t="s">
        <v>27</v>
      </c>
      <c r="J30" t="s">
        <v>103</v>
      </c>
    </row>
    <row r="31" spans="1:10" x14ac:dyDescent="0.3">
      <c r="A31" t="s">
        <v>34</v>
      </c>
      <c r="B31">
        <v>122627.2</v>
      </c>
      <c r="C31">
        <v>100284.52</v>
      </c>
      <c r="D31" s="1">
        <v>43804</v>
      </c>
      <c r="E31" t="s">
        <v>40</v>
      </c>
      <c r="F31" t="s">
        <v>89</v>
      </c>
      <c r="G31" t="s">
        <v>36</v>
      </c>
      <c r="H31" t="s">
        <v>104</v>
      </c>
      <c r="I31" t="s">
        <v>27</v>
      </c>
      <c r="J31" t="s">
        <v>105</v>
      </c>
    </row>
    <row r="32" spans="1:10" x14ac:dyDescent="0.3">
      <c r="A32" t="s">
        <v>22</v>
      </c>
      <c r="B32">
        <v>92698.45</v>
      </c>
      <c r="C32">
        <v>73454.25</v>
      </c>
      <c r="D32" s="1">
        <v>43843</v>
      </c>
      <c r="E32" t="s">
        <v>40</v>
      </c>
      <c r="F32" t="s">
        <v>106</v>
      </c>
      <c r="G32" t="s">
        <v>25</v>
      </c>
      <c r="H32" t="s">
        <v>26</v>
      </c>
      <c r="I32" t="s">
        <v>27</v>
      </c>
      <c r="J32" t="s">
        <v>107</v>
      </c>
    </row>
    <row r="33" spans="1:10" x14ac:dyDescent="0.3">
      <c r="A33" t="s">
        <v>17</v>
      </c>
      <c r="B33">
        <v>173456.4</v>
      </c>
      <c r="C33">
        <v>149866.32999999999</v>
      </c>
      <c r="D33" s="1">
        <v>43733</v>
      </c>
      <c r="E33" t="s">
        <v>91</v>
      </c>
      <c r="F33" t="s">
        <v>56</v>
      </c>
      <c r="G33" t="s">
        <v>19</v>
      </c>
      <c r="H33" t="s">
        <v>49</v>
      </c>
      <c r="I33" t="s">
        <v>32</v>
      </c>
      <c r="J33" t="s">
        <v>108</v>
      </c>
    </row>
    <row r="34" spans="1:10" x14ac:dyDescent="0.3">
      <c r="A34" t="s">
        <v>10</v>
      </c>
      <c r="B34">
        <v>94085.5</v>
      </c>
      <c r="C34">
        <v>77498.23</v>
      </c>
      <c r="D34" s="1">
        <v>43849</v>
      </c>
      <c r="E34" t="s">
        <v>29</v>
      </c>
      <c r="F34" t="s">
        <v>109</v>
      </c>
      <c r="G34" t="s">
        <v>13</v>
      </c>
      <c r="H34" t="s">
        <v>110</v>
      </c>
      <c r="I34" t="s">
        <v>27</v>
      </c>
      <c r="J34" t="s">
        <v>111</v>
      </c>
    </row>
    <row r="35" spans="1:10" x14ac:dyDescent="0.3">
      <c r="A35" t="s">
        <v>17</v>
      </c>
      <c r="B35">
        <v>60068.71</v>
      </c>
      <c r="C35">
        <v>47688.55</v>
      </c>
      <c r="D35" s="1">
        <v>44079</v>
      </c>
      <c r="E35" t="s">
        <v>99</v>
      </c>
      <c r="F35" t="s">
        <v>74</v>
      </c>
      <c r="G35" t="s">
        <v>19</v>
      </c>
      <c r="H35" t="s">
        <v>31</v>
      </c>
      <c r="I35" t="s">
        <v>27</v>
      </c>
      <c r="J35" t="s">
        <v>112</v>
      </c>
    </row>
    <row r="36" spans="1:10" x14ac:dyDescent="0.3">
      <c r="A36" t="s">
        <v>54</v>
      </c>
      <c r="B36">
        <v>58416.81</v>
      </c>
      <c r="C36">
        <v>46745.13</v>
      </c>
      <c r="D36" s="1">
        <v>43648</v>
      </c>
      <c r="E36" t="s">
        <v>40</v>
      </c>
      <c r="F36" t="s">
        <v>113</v>
      </c>
      <c r="G36" t="s">
        <v>57</v>
      </c>
      <c r="H36" t="s">
        <v>58</v>
      </c>
      <c r="I36" t="s">
        <v>27</v>
      </c>
      <c r="J36" t="s">
        <v>114</v>
      </c>
    </row>
    <row r="37" spans="1:10" x14ac:dyDescent="0.3">
      <c r="A37" t="s">
        <v>10</v>
      </c>
      <c r="B37">
        <v>239423.57</v>
      </c>
      <c r="C37">
        <v>199152.52</v>
      </c>
      <c r="D37" s="1">
        <v>43689</v>
      </c>
      <c r="E37" t="s">
        <v>29</v>
      </c>
      <c r="F37" t="s">
        <v>71</v>
      </c>
      <c r="G37" t="s">
        <v>13</v>
      </c>
      <c r="H37" t="s">
        <v>72</v>
      </c>
      <c r="I37" t="s">
        <v>32</v>
      </c>
      <c r="J37" t="s">
        <v>115</v>
      </c>
    </row>
    <row r="38" spans="1:10" x14ac:dyDescent="0.3">
      <c r="A38" t="s">
        <v>34</v>
      </c>
      <c r="B38">
        <v>53801.73</v>
      </c>
      <c r="C38">
        <v>46785.98</v>
      </c>
      <c r="D38" s="1">
        <v>43736</v>
      </c>
      <c r="E38" t="s">
        <v>11</v>
      </c>
      <c r="F38" t="s">
        <v>56</v>
      </c>
      <c r="G38" t="s">
        <v>36</v>
      </c>
      <c r="H38" t="s">
        <v>93</v>
      </c>
      <c r="I38" t="s">
        <v>27</v>
      </c>
      <c r="J38" t="s">
        <v>116</v>
      </c>
    </row>
    <row r="39" spans="1:10" x14ac:dyDescent="0.3">
      <c r="A39" t="s">
        <v>54</v>
      </c>
      <c r="B39">
        <v>180519.86</v>
      </c>
      <c r="C39">
        <v>145968.35999999999</v>
      </c>
      <c r="D39" s="1">
        <v>43562</v>
      </c>
      <c r="E39" t="s">
        <v>11</v>
      </c>
      <c r="F39" t="s">
        <v>60</v>
      </c>
      <c r="G39" t="s">
        <v>57</v>
      </c>
      <c r="H39" t="s">
        <v>58</v>
      </c>
      <c r="I39" t="s">
        <v>27</v>
      </c>
      <c r="J39" t="s">
        <v>117</v>
      </c>
    </row>
    <row r="40" spans="1:10" x14ac:dyDescent="0.3">
      <c r="A40" t="s">
        <v>22</v>
      </c>
      <c r="B40">
        <v>100469.75</v>
      </c>
      <c r="C40">
        <v>82566.039999999994</v>
      </c>
      <c r="D40" s="1">
        <v>43602</v>
      </c>
      <c r="E40" t="s">
        <v>29</v>
      </c>
      <c r="F40" t="s">
        <v>56</v>
      </c>
      <c r="G40" t="s">
        <v>25</v>
      </c>
      <c r="H40" t="s">
        <v>52</v>
      </c>
      <c r="I40" t="s">
        <v>27</v>
      </c>
      <c r="J40" t="s">
        <v>118</v>
      </c>
    </row>
    <row r="41" spans="1:10" x14ac:dyDescent="0.3">
      <c r="A41" t="s">
        <v>17</v>
      </c>
      <c r="B41">
        <v>128221.13</v>
      </c>
      <c r="C41">
        <v>102217.88</v>
      </c>
      <c r="D41" s="1">
        <v>44003</v>
      </c>
      <c r="E41" t="s">
        <v>40</v>
      </c>
      <c r="F41" t="s">
        <v>56</v>
      </c>
      <c r="G41" t="s">
        <v>19</v>
      </c>
      <c r="H41" t="s">
        <v>20</v>
      </c>
      <c r="I41" t="s">
        <v>27</v>
      </c>
      <c r="J41" t="s">
        <v>119</v>
      </c>
    </row>
    <row r="42" spans="1:10" x14ac:dyDescent="0.3">
      <c r="A42" t="s">
        <v>34</v>
      </c>
      <c r="B42">
        <v>164971.70000000001</v>
      </c>
      <c r="C42">
        <v>132686.74</v>
      </c>
      <c r="D42" s="1">
        <v>43666</v>
      </c>
      <c r="E42" t="s">
        <v>55</v>
      </c>
      <c r="F42" t="s">
        <v>18</v>
      </c>
      <c r="G42" t="s">
        <v>36</v>
      </c>
      <c r="H42" t="s">
        <v>104</v>
      </c>
      <c r="I42" t="s">
        <v>27</v>
      </c>
      <c r="J42" t="s">
        <v>120</v>
      </c>
    </row>
    <row r="43" spans="1:10" x14ac:dyDescent="0.3">
      <c r="A43" t="s">
        <v>54</v>
      </c>
      <c r="B43">
        <v>92868.37</v>
      </c>
      <c r="C43">
        <v>79068.13</v>
      </c>
      <c r="D43" s="1">
        <v>43920</v>
      </c>
      <c r="E43" t="s">
        <v>29</v>
      </c>
      <c r="F43" t="s">
        <v>62</v>
      </c>
      <c r="G43" t="s">
        <v>57</v>
      </c>
      <c r="H43" t="s">
        <v>58</v>
      </c>
      <c r="I43" t="s">
        <v>27</v>
      </c>
      <c r="J43" t="s">
        <v>121</v>
      </c>
    </row>
    <row r="44" spans="1:10" x14ac:dyDescent="0.3">
      <c r="A44" t="s">
        <v>122</v>
      </c>
      <c r="B44">
        <v>145439.65</v>
      </c>
      <c r="C44">
        <v>123710.97</v>
      </c>
      <c r="D44" s="1">
        <v>43900</v>
      </c>
      <c r="E44" t="s">
        <v>51</v>
      </c>
      <c r="F44" t="s">
        <v>77</v>
      </c>
      <c r="G44" t="s">
        <v>123</v>
      </c>
      <c r="H44" t="s">
        <v>124</v>
      </c>
      <c r="I44" t="s">
        <v>27</v>
      </c>
      <c r="J44" t="s">
        <v>125</v>
      </c>
    </row>
    <row r="45" spans="1:10" x14ac:dyDescent="0.3">
      <c r="A45" t="s">
        <v>34</v>
      </c>
      <c r="B45">
        <v>151632.32999999999</v>
      </c>
      <c r="C45">
        <v>120744.82</v>
      </c>
      <c r="D45" s="1">
        <v>44026</v>
      </c>
      <c r="E45" t="s">
        <v>40</v>
      </c>
      <c r="F45" t="s">
        <v>126</v>
      </c>
      <c r="G45" t="s">
        <v>36</v>
      </c>
      <c r="H45" t="s">
        <v>104</v>
      </c>
      <c r="I45" t="s">
        <v>27</v>
      </c>
      <c r="J45" t="s">
        <v>127</v>
      </c>
    </row>
    <row r="46" spans="1:10" x14ac:dyDescent="0.3">
      <c r="A46" t="s">
        <v>22</v>
      </c>
      <c r="B46">
        <v>159514.03</v>
      </c>
      <c r="C46">
        <v>138872.91</v>
      </c>
      <c r="D46" s="1">
        <v>44097</v>
      </c>
      <c r="E46" t="s">
        <v>40</v>
      </c>
      <c r="F46" t="s">
        <v>106</v>
      </c>
      <c r="G46" t="s">
        <v>25</v>
      </c>
      <c r="H46" t="s">
        <v>52</v>
      </c>
      <c r="I46" t="s">
        <v>27</v>
      </c>
      <c r="J46" t="s">
        <v>128</v>
      </c>
    </row>
    <row r="47" spans="1:10" x14ac:dyDescent="0.3">
      <c r="A47" t="s">
        <v>129</v>
      </c>
      <c r="B47">
        <v>106115.85</v>
      </c>
      <c r="C47">
        <v>93063.6</v>
      </c>
      <c r="D47" s="1">
        <v>43876</v>
      </c>
      <c r="E47" t="s">
        <v>29</v>
      </c>
      <c r="F47" t="s">
        <v>56</v>
      </c>
      <c r="G47" t="s">
        <v>130</v>
      </c>
      <c r="H47" t="s">
        <v>131</v>
      </c>
      <c r="I47" t="s">
        <v>15</v>
      </c>
      <c r="J47" t="s">
        <v>132</v>
      </c>
    </row>
    <row r="48" spans="1:10" x14ac:dyDescent="0.3">
      <c r="A48" t="s">
        <v>54</v>
      </c>
      <c r="B48">
        <v>86704.08</v>
      </c>
      <c r="C48">
        <v>75380.53</v>
      </c>
      <c r="D48" s="1">
        <v>43961</v>
      </c>
      <c r="E48" t="s">
        <v>91</v>
      </c>
      <c r="F48" t="s">
        <v>133</v>
      </c>
      <c r="G48" t="s">
        <v>57</v>
      </c>
      <c r="H48" t="s">
        <v>58</v>
      </c>
      <c r="I48" t="s">
        <v>27</v>
      </c>
      <c r="J48" t="s">
        <v>134</v>
      </c>
    </row>
    <row r="49" spans="1:10" x14ac:dyDescent="0.3">
      <c r="A49" t="s">
        <v>129</v>
      </c>
      <c r="B49">
        <v>48946.74</v>
      </c>
      <c r="C49">
        <v>38765.82</v>
      </c>
      <c r="D49" s="1">
        <v>43574</v>
      </c>
      <c r="E49" t="s">
        <v>55</v>
      </c>
      <c r="F49" t="s">
        <v>135</v>
      </c>
      <c r="G49" t="s">
        <v>130</v>
      </c>
      <c r="H49" t="s">
        <v>131</v>
      </c>
      <c r="I49" t="s">
        <v>27</v>
      </c>
      <c r="J49" t="s">
        <v>136</v>
      </c>
    </row>
    <row r="50" spans="1:10" x14ac:dyDescent="0.3">
      <c r="A50" t="s">
        <v>10</v>
      </c>
      <c r="B50">
        <v>54078.92</v>
      </c>
      <c r="C50">
        <v>46102.28</v>
      </c>
      <c r="D50" s="1">
        <v>44054</v>
      </c>
      <c r="E50" t="s">
        <v>91</v>
      </c>
      <c r="F50" t="s">
        <v>133</v>
      </c>
      <c r="G50" t="s">
        <v>13</v>
      </c>
      <c r="H50" t="s">
        <v>81</v>
      </c>
      <c r="I50" t="s">
        <v>27</v>
      </c>
      <c r="J50" t="s">
        <v>137</v>
      </c>
    </row>
    <row r="51" spans="1:10" x14ac:dyDescent="0.3">
      <c r="A51" t="s">
        <v>39</v>
      </c>
      <c r="B51">
        <v>26899.97</v>
      </c>
      <c r="C51">
        <v>23198.53</v>
      </c>
      <c r="D51" s="1">
        <v>43543</v>
      </c>
      <c r="E51" t="s">
        <v>11</v>
      </c>
      <c r="F51" t="s">
        <v>106</v>
      </c>
      <c r="G51" t="s">
        <v>42</v>
      </c>
      <c r="H51" t="s">
        <v>43</v>
      </c>
      <c r="I51" t="s">
        <v>27</v>
      </c>
      <c r="J51" t="s">
        <v>138</v>
      </c>
    </row>
    <row r="52" spans="1:10" x14ac:dyDescent="0.3">
      <c r="A52" t="s">
        <v>17</v>
      </c>
      <c r="B52">
        <v>149500.60999999999</v>
      </c>
      <c r="C52">
        <v>125401.11</v>
      </c>
      <c r="D52" s="1">
        <v>44036</v>
      </c>
      <c r="E52" t="s">
        <v>11</v>
      </c>
      <c r="F52" t="s">
        <v>139</v>
      </c>
      <c r="G52" t="s">
        <v>19</v>
      </c>
      <c r="H52" t="s">
        <v>31</v>
      </c>
      <c r="I52" t="s">
        <v>27</v>
      </c>
      <c r="J52" t="s">
        <v>140</v>
      </c>
    </row>
    <row r="53" spans="1:10" x14ac:dyDescent="0.3">
      <c r="A53" t="s">
        <v>17</v>
      </c>
      <c r="B53">
        <v>127946.33</v>
      </c>
      <c r="C53">
        <v>111850.68</v>
      </c>
      <c r="D53" s="1">
        <v>43717</v>
      </c>
      <c r="E53" t="s">
        <v>76</v>
      </c>
      <c r="F53" t="s">
        <v>71</v>
      </c>
      <c r="G53" t="s">
        <v>19</v>
      </c>
      <c r="H53" t="s">
        <v>31</v>
      </c>
      <c r="I53" t="s">
        <v>27</v>
      </c>
      <c r="J53" t="s">
        <v>141</v>
      </c>
    </row>
    <row r="54" spans="1:10" x14ac:dyDescent="0.3">
      <c r="A54" t="s">
        <v>22</v>
      </c>
      <c r="B54">
        <v>61994.02</v>
      </c>
      <c r="C54">
        <v>54250.97</v>
      </c>
      <c r="D54" s="1">
        <v>43515</v>
      </c>
      <c r="E54" t="s">
        <v>91</v>
      </c>
      <c r="F54" t="s">
        <v>74</v>
      </c>
      <c r="G54" t="s">
        <v>25</v>
      </c>
      <c r="H54" t="s">
        <v>26</v>
      </c>
      <c r="I54" t="s">
        <v>27</v>
      </c>
      <c r="J54" t="s">
        <v>142</v>
      </c>
    </row>
    <row r="55" spans="1:10" x14ac:dyDescent="0.3">
      <c r="A55" t="s">
        <v>143</v>
      </c>
      <c r="B55">
        <v>39110.97</v>
      </c>
      <c r="C55">
        <v>34315.97</v>
      </c>
      <c r="D55" s="1">
        <v>43765</v>
      </c>
      <c r="E55" t="s">
        <v>40</v>
      </c>
      <c r="F55" t="s">
        <v>144</v>
      </c>
      <c r="G55" t="s">
        <v>145</v>
      </c>
      <c r="H55" t="s">
        <v>146</v>
      </c>
      <c r="I55" t="s">
        <v>27</v>
      </c>
      <c r="J55" t="s">
        <v>147</v>
      </c>
    </row>
    <row r="56" spans="1:10" x14ac:dyDescent="0.3">
      <c r="A56" t="s">
        <v>22</v>
      </c>
      <c r="B56">
        <v>74532.02</v>
      </c>
      <c r="C56">
        <v>59752.32</v>
      </c>
      <c r="D56" s="1">
        <v>43865</v>
      </c>
      <c r="E56" t="s">
        <v>76</v>
      </c>
      <c r="F56" t="s">
        <v>106</v>
      </c>
      <c r="G56" t="s">
        <v>25</v>
      </c>
      <c r="H56" t="s">
        <v>52</v>
      </c>
      <c r="I56" t="s">
        <v>27</v>
      </c>
      <c r="J56" t="s">
        <v>148</v>
      </c>
    </row>
    <row r="57" spans="1:10" x14ac:dyDescent="0.3">
      <c r="A57" t="s">
        <v>17</v>
      </c>
      <c r="B57">
        <v>60592.4</v>
      </c>
      <c r="C57">
        <v>52363.95</v>
      </c>
      <c r="D57" s="1">
        <v>43518</v>
      </c>
      <c r="E57" t="s">
        <v>55</v>
      </c>
      <c r="F57" t="s">
        <v>149</v>
      </c>
      <c r="G57" t="s">
        <v>19</v>
      </c>
      <c r="H57" t="s">
        <v>31</v>
      </c>
      <c r="I57" t="s">
        <v>27</v>
      </c>
      <c r="J57" t="s">
        <v>150</v>
      </c>
    </row>
    <row r="58" spans="1:10" x14ac:dyDescent="0.3">
      <c r="A58" t="s">
        <v>151</v>
      </c>
      <c r="B58">
        <v>81358.58</v>
      </c>
      <c r="C58">
        <v>68918.850000000006</v>
      </c>
      <c r="D58" s="1">
        <v>44064</v>
      </c>
      <c r="E58" t="s">
        <v>91</v>
      </c>
      <c r="F58" t="s">
        <v>133</v>
      </c>
      <c r="G58" t="s">
        <v>152</v>
      </c>
      <c r="H58" t="s">
        <v>153</v>
      </c>
      <c r="I58" t="s">
        <v>32</v>
      </c>
      <c r="J58" t="s">
        <v>154</v>
      </c>
    </row>
    <row r="59" spans="1:10" x14ac:dyDescent="0.3">
      <c r="A59" t="s">
        <v>17</v>
      </c>
      <c r="B59">
        <v>117538.82</v>
      </c>
      <c r="C59">
        <v>100719.02</v>
      </c>
      <c r="D59" s="1">
        <v>43531</v>
      </c>
      <c r="E59" t="s">
        <v>76</v>
      </c>
      <c r="F59" t="s">
        <v>18</v>
      </c>
      <c r="G59" t="s">
        <v>19</v>
      </c>
      <c r="H59" t="s">
        <v>49</v>
      </c>
      <c r="I59" t="s">
        <v>27</v>
      </c>
      <c r="J59" t="s">
        <v>155</v>
      </c>
    </row>
    <row r="60" spans="1:10" x14ac:dyDescent="0.3">
      <c r="A60" t="s">
        <v>17</v>
      </c>
      <c r="B60">
        <v>56811.14</v>
      </c>
      <c r="C60">
        <v>48221.3</v>
      </c>
      <c r="D60" s="1">
        <v>43656</v>
      </c>
      <c r="E60" t="s">
        <v>40</v>
      </c>
      <c r="F60" t="s">
        <v>156</v>
      </c>
      <c r="G60" t="s">
        <v>19</v>
      </c>
      <c r="H60" t="s">
        <v>157</v>
      </c>
      <c r="I60" t="s">
        <v>27</v>
      </c>
      <c r="J60" t="s">
        <v>158</v>
      </c>
    </row>
    <row r="61" spans="1:10" x14ac:dyDescent="0.3">
      <c r="A61" t="s">
        <v>129</v>
      </c>
      <c r="B61">
        <v>163967.89000000001</v>
      </c>
      <c r="C61">
        <v>138208.53</v>
      </c>
      <c r="D61" s="1">
        <v>43615</v>
      </c>
      <c r="E61" t="s">
        <v>23</v>
      </c>
      <c r="F61" t="s">
        <v>74</v>
      </c>
      <c r="G61" t="s">
        <v>130</v>
      </c>
      <c r="H61" t="s">
        <v>159</v>
      </c>
      <c r="I61" t="s">
        <v>15</v>
      </c>
      <c r="J61" t="s">
        <v>160</v>
      </c>
    </row>
    <row r="62" spans="1:10" x14ac:dyDescent="0.3">
      <c r="A62" t="s">
        <v>22</v>
      </c>
      <c r="B62">
        <v>159057.92000000001</v>
      </c>
      <c r="C62">
        <v>139923.25</v>
      </c>
      <c r="D62" s="1">
        <v>44128</v>
      </c>
      <c r="E62" t="s">
        <v>51</v>
      </c>
      <c r="F62" t="s">
        <v>56</v>
      </c>
      <c r="G62" t="s">
        <v>25</v>
      </c>
      <c r="H62" t="s">
        <v>87</v>
      </c>
      <c r="I62" t="s">
        <v>27</v>
      </c>
      <c r="J62" t="s">
        <v>161</v>
      </c>
    </row>
    <row r="63" spans="1:10" x14ac:dyDescent="0.3">
      <c r="A63" t="s">
        <v>39</v>
      </c>
      <c r="B63">
        <v>163203.64000000001</v>
      </c>
      <c r="C63">
        <v>140893.70000000001</v>
      </c>
      <c r="D63" s="1">
        <v>43637</v>
      </c>
      <c r="E63" t="s">
        <v>51</v>
      </c>
      <c r="F63" t="s">
        <v>135</v>
      </c>
      <c r="G63" t="s">
        <v>42</v>
      </c>
      <c r="H63" t="s">
        <v>43</v>
      </c>
      <c r="I63" t="s">
        <v>27</v>
      </c>
      <c r="J63" t="s">
        <v>162</v>
      </c>
    </row>
    <row r="64" spans="1:10" x14ac:dyDescent="0.3">
      <c r="A64" t="s">
        <v>22</v>
      </c>
      <c r="B64">
        <v>249099.44</v>
      </c>
      <c r="C64">
        <v>215695.2</v>
      </c>
      <c r="D64" s="1">
        <v>43997</v>
      </c>
      <c r="E64" t="s">
        <v>99</v>
      </c>
      <c r="F64" t="s">
        <v>56</v>
      </c>
      <c r="G64" t="s">
        <v>25</v>
      </c>
      <c r="H64" t="s">
        <v>26</v>
      </c>
      <c r="I64" t="s">
        <v>27</v>
      </c>
      <c r="J64" t="s">
        <v>163</v>
      </c>
    </row>
    <row r="65" spans="1:10" x14ac:dyDescent="0.3">
      <c r="A65" t="s">
        <v>22</v>
      </c>
      <c r="B65">
        <v>108412.76</v>
      </c>
      <c r="C65">
        <v>88594.91</v>
      </c>
      <c r="D65" s="1">
        <v>43532</v>
      </c>
      <c r="E65" t="s">
        <v>51</v>
      </c>
      <c r="F65" t="s">
        <v>164</v>
      </c>
      <c r="G65" t="s">
        <v>25</v>
      </c>
      <c r="H65" t="s">
        <v>26</v>
      </c>
      <c r="I65" t="s">
        <v>32</v>
      </c>
      <c r="J65" t="s">
        <v>165</v>
      </c>
    </row>
    <row r="66" spans="1:10" x14ac:dyDescent="0.3">
      <c r="A66" t="s">
        <v>66</v>
      </c>
      <c r="B66">
        <v>158362.32999999999</v>
      </c>
      <c r="C66">
        <v>133990.37</v>
      </c>
      <c r="D66" s="1">
        <v>44057</v>
      </c>
      <c r="E66" t="s">
        <v>91</v>
      </c>
      <c r="F66" t="s">
        <v>106</v>
      </c>
      <c r="G66" t="s">
        <v>68</v>
      </c>
      <c r="H66" t="s">
        <v>69</v>
      </c>
      <c r="I66" t="s">
        <v>27</v>
      </c>
      <c r="J66" t="s">
        <v>166</v>
      </c>
    </row>
    <row r="67" spans="1:10" x14ac:dyDescent="0.3">
      <c r="A67" t="s">
        <v>22</v>
      </c>
      <c r="B67">
        <v>171884</v>
      </c>
      <c r="C67">
        <v>146702.99</v>
      </c>
      <c r="D67" s="1">
        <v>43751</v>
      </c>
      <c r="E67" t="s">
        <v>11</v>
      </c>
      <c r="F67" t="s">
        <v>56</v>
      </c>
      <c r="G67" t="s">
        <v>25</v>
      </c>
      <c r="H67" t="s">
        <v>167</v>
      </c>
      <c r="I67" t="s">
        <v>27</v>
      </c>
      <c r="J67" t="s">
        <v>168</v>
      </c>
    </row>
    <row r="68" spans="1:10" x14ac:dyDescent="0.3">
      <c r="A68" t="s">
        <v>169</v>
      </c>
      <c r="B68">
        <v>22164.959999999999</v>
      </c>
      <c r="C68">
        <v>17938.099999999999</v>
      </c>
      <c r="D68" s="1">
        <v>43538</v>
      </c>
      <c r="E68" t="s">
        <v>91</v>
      </c>
      <c r="F68" t="s">
        <v>170</v>
      </c>
      <c r="G68" t="s">
        <v>171</v>
      </c>
      <c r="H68" t="s">
        <v>172</v>
      </c>
      <c r="I68" t="s">
        <v>27</v>
      </c>
      <c r="J68" t="s">
        <v>173</v>
      </c>
    </row>
    <row r="69" spans="1:10" x14ac:dyDescent="0.3">
      <c r="A69" t="s">
        <v>10</v>
      </c>
      <c r="B69">
        <v>178304.35</v>
      </c>
      <c r="C69">
        <v>153573.54</v>
      </c>
      <c r="D69" s="1">
        <v>44086</v>
      </c>
      <c r="E69" t="s">
        <v>29</v>
      </c>
      <c r="F69" t="s">
        <v>174</v>
      </c>
      <c r="G69" t="s">
        <v>13</v>
      </c>
      <c r="H69" t="s">
        <v>14</v>
      </c>
      <c r="I69" t="s">
        <v>27</v>
      </c>
      <c r="J69" t="s">
        <v>175</v>
      </c>
    </row>
    <row r="70" spans="1:10" x14ac:dyDescent="0.3">
      <c r="A70" t="s">
        <v>22</v>
      </c>
      <c r="B70">
        <v>38494.71</v>
      </c>
      <c r="C70">
        <v>33113.15</v>
      </c>
      <c r="D70" s="1">
        <v>43557</v>
      </c>
      <c r="E70" t="s">
        <v>11</v>
      </c>
      <c r="F70" t="s">
        <v>18</v>
      </c>
      <c r="G70" t="s">
        <v>25</v>
      </c>
      <c r="H70" t="s">
        <v>63</v>
      </c>
      <c r="I70" t="s">
        <v>27</v>
      </c>
      <c r="J70" t="s">
        <v>176</v>
      </c>
    </row>
    <row r="71" spans="1:10" x14ac:dyDescent="0.3">
      <c r="A71" t="s">
        <v>22</v>
      </c>
      <c r="B71">
        <v>116157.89</v>
      </c>
      <c r="C71">
        <v>97166.07</v>
      </c>
      <c r="D71" s="1">
        <v>43783</v>
      </c>
      <c r="E71" t="s">
        <v>11</v>
      </c>
      <c r="F71" t="s">
        <v>177</v>
      </c>
      <c r="G71" t="s">
        <v>25</v>
      </c>
      <c r="H71" t="s">
        <v>63</v>
      </c>
      <c r="I71" t="s">
        <v>27</v>
      </c>
      <c r="J71" t="s">
        <v>178</v>
      </c>
    </row>
    <row r="72" spans="1:10" x14ac:dyDescent="0.3">
      <c r="A72" t="s">
        <v>17</v>
      </c>
      <c r="B72">
        <v>56118.05</v>
      </c>
      <c r="C72">
        <v>47711.57</v>
      </c>
      <c r="D72" s="1">
        <v>43864</v>
      </c>
      <c r="E72" t="s">
        <v>76</v>
      </c>
      <c r="F72" t="s">
        <v>97</v>
      </c>
      <c r="G72" t="s">
        <v>19</v>
      </c>
      <c r="H72" t="s">
        <v>20</v>
      </c>
      <c r="I72" t="s">
        <v>27</v>
      </c>
      <c r="J72" t="s">
        <v>179</v>
      </c>
    </row>
    <row r="73" spans="1:10" x14ac:dyDescent="0.3">
      <c r="A73" t="s">
        <v>34</v>
      </c>
      <c r="B73">
        <v>161773.31</v>
      </c>
      <c r="C73">
        <v>138283.82999999999</v>
      </c>
      <c r="D73" s="1">
        <v>43585</v>
      </c>
      <c r="E73" t="s">
        <v>91</v>
      </c>
      <c r="F73" t="s">
        <v>56</v>
      </c>
      <c r="G73" t="s">
        <v>36</v>
      </c>
      <c r="H73" t="s">
        <v>93</v>
      </c>
      <c r="I73" t="s">
        <v>27</v>
      </c>
      <c r="J73" t="s">
        <v>180</v>
      </c>
    </row>
    <row r="74" spans="1:10" x14ac:dyDescent="0.3">
      <c r="A74" t="s">
        <v>22</v>
      </c>
      <c r="B74">
        <v>263571.82</v>
      </c>
      <c r="C74">
        <v>216155.25</v>
      </c>
      <c r="D74" s="1">
        <v>44049</v>
      </c>
      <c r="E74" t="s">
        <v>181</v>
      </c>
      <c r="F74" t="s">
        <v>92</v>
      </c>
      <c r="G74" t="s">
        <v>25</v>
      </c>
      <c r="H74" t="s">
        <v>52</v>
      </c>
      <c r="I74" t="s">
        <v>27</v>
      </c>
      <c r="J74" t="s">
        <v>182</v>
      </c>
    </row>
    <row r="75" spans="1:10" x14ac:dyDescent="0.3">
      <c r="A75" t="s">
        <v>22</v>
      </c>
      <c r="B75">
        <v>41805.53</v>
      </c>
      <c r="C75">
        <v>33352.449999999997</v>
      </c>
      <c r="D75" s="1">
        <v>43547</v>
      </c>
      <c r="E75" t="s">
        <v>23</v>
      </c>
      <c r="F75" t="s">
        <v>183</v>
      </c>
      <c r="G75" t="s">
        <v>25</v>
      </c>
      <c r="H75" t="s">
        <v>87</v>
      </c>
      <c r="I75" t="s">
        <v>15</v>
      </c>
      <c r="J75" t="s">
        <v>184</v>
      </c>
    </row>
    <row r="76" spans="1:10" x14ac:dyDescent="0.3">
      <c r="A76" t="s">
        <v>22</v>
      </c>
      <c r="B76">
        <v>93902.04</v>
      </c>
      <c r="C76">
        <v>80793.31</v>
      </c>
      <c r="D76" s="1">
        <v>43833</v>
      </c>
      <c r="E76" t="s">
        <v>40</v>
      </c>
      <c r="F76" t="s">
        <v>133</v>
      </c>
      <c r="G76" t="s">
        <v>25</v>
      </c>
      <c r="H76" t="s">
        <v>52</v>
      </c>
      <c r="I76" t="s">
        <v>27</v>
      </c>
      <c r="J76" t="s">
        <v>185</v>
      </c>
    </row>
    <row r="77" spans="1:10" x14ac:dyDescent="0.3">
      <c r="A77" t="s">
        <v>17</v>
      </c>
      <c r="B77">
        <v>310539</v>
      </c>
      <c r="C77">
        <v>248275.93</v>
      </c>
      <c r="D77" s="1">
        <v>44147</v>
      </c>
      <c r="E77" t="s">
        <v>29</v>
      </c>
      <c r="F77" t="s">
        <v>56</v>
      </c>
      <c r="G77" t="s">
        <v>19</v>
      </c>
      <c r="H77" t="s">
        <v>157</v>
      </c>
      <c r="I77" t="s">
        <v>27</v>
      </c>
      <c r="J77" t="s">
        <v>186</v>
      </c>
    </row>
    <row r="78" spans="1:10" x14ac:dyDescent="0.3">
      <c r="A78" t="s">
        <v>22</v>
      </c>
      <c r="B78">
        <v>82357.570000000007</v>
      </c>
      <c r="C78">
        <v>65474.27</v>
      </c>
      <c r="D78" s="1">
        <v>43515</v>
      </c>
      <c r="E78" t="s">
        <v>91</v>
      </c>
      <c r="F78" t="s">
        <v>80</v>
      </c>
      <c r="G78" t="s">
        <v>25</v>
      </c>
      <c r="H78" t="s">
        <v>52</v>
      </c>
      <c r="I78" t="s">
        <v>27</v>
      </c>
      <c r="J78" t="s">
        <v>187</v>
      </c>
    </row>
    <row r="79" spans="1:10" x14ac:dyDescent="0.3">
      <c r="A79" t="s">
        <v>17</v>
      </c>
      <c r="B79">
        <v>50585.98</v>
      </c>
      <c r="C79">
        <v>40999.94</v>
      </c>
      <c r="D79" s="1">
        <v>44072</v>
      </c>
      <c r="E79" t="s">
        <v>76</v>
      </c>
      <c r="F79" t="s">
        <v>144</v>
      </c>
      <c r="G79" t="s">
        <v>19</v>
      </c>
      <c r="H79" t="s">
        <v>78</v>
      </c>
      <c r="I79" t="s">
        <v>15</v>
      </c>
      <c r="J79" t="s">
        <v>188</v>
      </c>
    </row>
    <row r="80" spans="1:10" x14ac:dyDescent="0.3">
      <c r="A80" t="s">
        <v>129</v>
      </c>
      <c r="B80">
        <v>33190.03</v>
      </c>
      <c r="C80">
        <v>28397.39</v>
      </c>
      <c r="D80" s="1">
        <v>44061</v>
      </c>
      <c r="E80" t="s">
        <v>29</v>
      </c>
      <c r="F80" t="s">
        <v>189</v>
      </c>
      <c r="G80" t="s">
        <v>130</v>
      </c>
      <c r="H80" t="s">
        <v>159</v>
      </c>
      <c r="I80" t="s">
        <v>15</v>
      </c>
      <c r="J80" t="s">
        <v>190</v>
      </c>
    </row>
    <row r="81" spans="1:10" x14ac:dyDescent="0.3">
      <c r="A81" t="s">
        <v>122</v>
      </c>
      <c r="B81">
        <v>78293.94</v>
      </c>
      <c r="C81">
        <v>66236.67</v>
      </c>
      <c r="D81" s="1">
        <v>43751</v>
      </c>
      <c r="E81" t="s">
        <v>23</v>
      </c>
      <c r="F81" t="s">
        <v>149</v>
      </c>
      <c r="G81" t="s">
        <v>123</v>
      </c>
      <c r="H81" t="s">
        <v>124</v>
      </c>
      <c r="I81" t="s">
        <v>32</v>
      </c>
      <c r="J81" t="s">
        <v>191</v>
      </c>
    </row>
    <row r="82" spans="1:10" x14ac:dyDescent="0.3">
      <c r="A82" t="s">
        <v>22</v>
      </c>
      <c r="B82">
        <v>64762.89</v>
      </c>
      <c r="C82">
        <v>54238.92</v>
      </c>
      <c r="D82" s="1">
        <v>43618</v>
      </c>
      <c r="E82" t="s">
        <v>29</v>
      </c>
      <c r="F82" t="s">
        <v>35</v>
      </c>
      <c r="G82" t="s">
        <v>25</v>
      </c>
      <c r="H82" t="s">
        <v>63</v>
      </c>
      <c r="I82" t="s">
        <v>27</v>
      </c>
      <c r="J82" t="s">
        <v>192</v>
      </c>
    </row>
    <row r="83" spans="1:10" x14ac:dyDescent="0.3">
      <c r="A83" t="s">
        <v>17</v>
      </c>
      <c r="B83">
        <v>184221.2</v>
      </c>
      <c r="C83">
        <v>150324.5</v>
      </c>
      <c r="D83" s="1">
        <v>43631</v>
      </c>
      <c r="E83" t="s">
        <v>29</v>
      </c>
      <c r="F83" t="s">
        <v>106</v>
      </c>
      <c r="G83" t="s">
        <v>19</v>
      </c>
      <c r="H83" t="s">
        <v>20</v>
      </c>
      <c r="I83" t="s">
        <v>27</v>
      </c>
      <c r="J83" t="s">
        <v>193</v>
      </c>
    </row>
    <row r="84" spans="1:10" x14ac:dyDescent="0.3">
      <c r="A84" t="s">
        <v>143</v>
      </c>
      <c r="B84">
        <v>134908.19</v>
      </c>
      <c r="C84">
        <v>114388.65</v>
      </c>
      <c r="D84" s="1">
        <v>44061</v>
      </c>
      <c r="E84" t="s">
        <v>40</v>
      </c>
      <c r="F84" t="s">
        <v>45</v>
      </c>
      <c r="G84" t="s">
        <v>145</v>
      </c>
      <c r="H84" t="s">
        <v>146</v>
      </c>
      <c r="I84" t="s">
        <v>27</v>
      </c>
      <c r="J84" t="s">
        <v>194</v>
      </c>
    </row>
    <row r="85" spans="1:10" x14ac:dyDescent="0.3">
      <c r="A85" t="s">
        <v>17</v>
      </c>
      <c r="B85">
        <v>122139.94</v>
      </c>
      <c r="C85">
        <v>103684.6</v>
      </c>
      <c r="D85" s="1">
        <v>43507</v>
      </c>
      <c r="E85" t="s">
        <v>51</v>
      </c>
      <c r="F85" t="s">
        <v>195</v>
      </c>
      <c r="G85" t="s">
        <v>19</v>
      </c>
      <c r="H85" t="s">
        <v>157</v>
      </c>
      <c r="I85" t="s">
        <v>27</v>
      </c>
      <c r="J85" t="s">
        <v>196</v>
      </c>
    </row>
    <row r="86" spans="1:10" x14ac:dyDescent="0.3">
      <c r="A86" t="s">
        <v>151</v>
      </c>
      <c r="B86">
        <v>361182.87</v>
      </c>
      <c r="C86">
        <v>288368.40000000002</v>
      </c>
      <c r="D86" s="1">
        <v>43508</v>
      </c>
      <c r="E86" t="s">
        <v>91</v>
      </c>
      <c r="F86" t="s">
        <v>195</v>
      </c>
      <c r="G86" t="s">
        <v>152</v>
      </c>
      <c r="H86" t="s">
        <v>197</v>
      </c>
      <c r="I86" t="s">
        <v>27</v>
      </c>
      <c r="J86" t="s">
        <v>198</v>
      </c>
    </row>
    <row r="87" spans="1:10" x14ac:dyDescent="0.3">
      <c r="A87" t="s">
        <v>10</v>
      </c>
      <c r="B87">
        <v>79313.86</v>
      </c>
      <c r="C87">
        <v>63316.25</v>
      </c>
      <c r="D87" s="1">
        <v>43833</v>
      </c>
      <c r="E87" t="s">
        <v>23</v>
      </c>
      <c r="F87" t="s">
        <v>92</v>
      </c>
      <c r="G87" t="s">
        <v>13</v>
      </c>
      <c r="H87" t="s">
        <v>72</v>
      </c>
      <c r="I87" t="s">
        <v>27</v>
      </c>
      <c r="J87" t="s">
        <v>199</v>
      </c>
    </row>
    <row r="88" spans="1:10" x14ac:dyDescent="0.3">
      <c r="A88" t="s">
        <v>10</v>
      </c>
      <c r="B88">
        <v>151315.26</v>
      </c>
      <c r="C88">
        <v>121173.26</v>
      </c>
      <c r="D88" s="1">
        <v>43608</v>
      </c>
      <c r="E88" t="s">
        <v>76</v>
      </c>
      <c r="F88" t="s">
        <v>89</v>
      </c>
      <c r="G88" t="s">
        <v>13</v>
      </c>
      <c r="H88" t="s">
        <v>110</v>
      </c>
      <c r="I88" t="s">
        <v>27</v>
      </c>
      <c r="J88" t="s">
        <v>200</v>
      </c>
    </row>
    <row r="89" spans="1:10" x14ac:dyDescent="0.3">
      <c r="A89" t="s">
        <v>17</v>
      </c>
      <c r="B89">
        <v>52805.94</v>
      </c>
      <c r="C89">
        <v>43791.97</v>
      </c>
      <c r="D89" s="1">
        <v>44004</v>
      </c>
      <c r="E89" t="s">
        <v>51</v>
      </c>
      <c r="F89" t="s">
        <v>80</v>
      </c>
      <c r="G89" t="s">
        <v>19</v>
      </c>
      <c r="H89" t="s">
        <v>20</v>
      </c>
      <c r="I89" t="s">
        <v>27</v>
      </c>
      <c r="J89" t="s">
        <v>201</v>
      </c>
    </row>
    <row r="90" spans="1:10" x14ac:dyDescent="0.3">
      <c r="A90" t="s">
        <v>22</v>
      </c>
      <c r="B90">
        <v>69750.570000000007</v>
      </c>
      <c r="C90">
        <v>60731.82</v>
      </c>
      <c r="D90" s="1">
        <v>43543</v>
      </c>
      <c r="E90" t="s">
        <v>11</v>
      </c>
      <c r="F90" t="s">
        <v>56</v>
      </c>
      <c r="G90" t="s">
        <v>25</v>
      </c>
      <c r="H90" t="s">
        <v>63</v>
      </c>
      <c r="I90" t="s">
        <v>27</v>
      </c>
      <c r="J90" t="s">
        <v>202</v>
      </c>
    </row>
    <row r="91" spans="1:10" x14ac:dyDescent="0.3">
      <c r="A91" t="s">
        <v>22</v>
      </c>
      <c r="B91">
        <v>228961.3</v>
      </c>
      <c r="C91">
        <v>183764.34</v>
      </c>
      <c r="D91" s="1">
        <v>43836</v>
      </c>
      <c r="E91" t="s">
        <v>23</v>
      </c>
      <c r="F91" t="s">
        <v>56</v>
      </c>
      <c r="G91" t="s">
        <v>25</v>
      </c>
      <c r="H91" t="s">
        <v>63</v>
      </c>
      <c r="I91" t="s">
        <v>27</v>
      </c>
      <c r="J91" t="s">
        <v>203</v>
      </c>
    </row>
    <row r="92" spans="1:10" x14ac:dyDescent="0.3">
      <c r="A92" t="s">
        <v>17</v>
      </c>
      <c r="B92">
        <v>148405.47</v>
      </c>
      <c r="C92">
        <v>128845.63</v>
      </c>
      <c r="D92" s="1">
        <v>43765</v>
      </c>
      <c r="E92" t="s">
        <v>29</v>
      </c>
      <c r="F92" t="s">
        <v>56</v>
      </c>
      <c r="G92" t="s">
        <v>19</v>
      </c>
      <c r="H92" t="s">
        <v>20</v>
      </c>
      <c r="I92" t="s">
        <v>27</v>
      </c>
      <c r="J92" t="s">
        <v>204</v>
      </c>
    </row>
    <row r="93" spans="1:10" x14ac:dyDescent="0.3">
      <c r="A93" t="s">
        <v>122</v>
      </c>
      <c r="B93">
        <v>95960.77</v>
      </c>
      <c r="C93">
        <v>76519.12</v>
      </c>
      <c r="D93" s="1">
        <v>44145</v>
      </c>
      <c r="E93" t="s">
        <v>91</v>
      </c>
      <c r="F93" t="s">
        <v>106</v>
      </c>
      <c r="G93" t="s">
        <v>123</v>
      </c>
      <c r="H93" t="s">
        <v>124</v>
      </c>
      <c r="I93" t="s">
        <v>27</v>
      </c>
      <c r="J93" t="s">
        <v>205</v>
      </c>
    </row>
    <row r="94" spans="1:10" x14ac:dyDescent="0.3">
      <c r="A94" t="s">
        <v>143</v>
      </c>
      <c r="C94">
        <v>190767.27</v>
      </c>
      <c r="D94" s="1">
        <v>43641</v>
      </c>
      <c r="E94" t="s">
        <v>23</v>
      </c>
      <c r="F94" t="s">
        <v>30</v>
      </c>
      <c r="G94" t="s">
        <v>145</v>
      </c>
      <c r="H94" t="s">
        <v>206</v>
      </c>
      <c r="I94" t="s">
        <v>32</v>
      </c>
      <c r="J94" t="s">
        <v>207</v>
      </c>
    </row>
    <row r="95" spans="1:10" x14ac:dyDescent="0.3">
      <c r="A95" t="s">
        <v>17</v>
      </c>
      <c r="B95">
        <v>83340.039999999994</v>
      </c>
      <c r="C95">
        <v>73264.23</v>
      </c>
      <c r="D95" s="1">
        <v>43969</v>
      </c>
      <c r="E95" t="s">
        <v>40</v>
      </c>
      <c r="F95" t="s">
        <v>56</v>
      </c>
      <c r="G95" t="s">
        <v>19</v>
      </c>
      <c r="H95" t="s">
        <v>20</v>
      </c>
      <c r="I95" t="s">
        <v>27</v>
      </c>
      <c r="J95" t="s">
        <v>208</v>
      </c>
    </row>
    <row r="96" spans="1:10" x14ac:dyDescent="0.3">
      <c r="A96" t="s">
        <v>22</v>
      </c>
      <c r="B96">
        <v>183363.6</v>
      </c>
      <c r="C96">
        <v>155033.92000000001</v>
      </c>
      <c r="D96" s="1">
        <v>43640</v>
      </c>
      <c r="E96" t="s">
        <v>51</v>
      </c>
      <c r="F96" t="s">
        <v>56</v>
      </c>
      <c r="G96" t="s">
        <v>25</v>
      </c>
      <c r="H96" t="s">
        <v>63</v>
      </c>
      <c r="I96" t="s">
        <v>27</v>
      </c>
      <c r="J96" t="s">
        <v>209</v>
      </c>
    </row>
    <row r="97" spans="1:10" x14ac:dyDescent="0.3">
      <c r="A97" t="s">
        <v>22</v>
      </c>
      <c r="B97">
        <v>290551.74</v>
      </c>
      <c r="C97">
        <v>239530.86</v>
      </c>
      <c r="D97" s="1">
        <v>44179</v>
      </c>
      <c r="E97" t="s">
        <v>99</v>
      </c>
      <c r="F97" t="s">
        <v>106</v>
      </c>
      <c r="G97" t="s">
        <v>25</v>
      </c>
      <c r="H97" t="s">
        <v>87</v>
      </c>
      <c r="I97" t="s">
        <v>27</v>
      </c>
      <c r="J97" t="s">
        <v>210</v>
      </c>
    </row>
    <row r="98" spans="1:10" x14ac:dyDescent="0.3">
      <c r="A98" t="s">
        <v>17</v>
      </c>
      <c r="B98">
        <v>80781.62</v>
      </c>
      <c r="C98">
        <v>68971.350000000006</v>
      </c>
      <c r="D98" s="1">
        <v>43484</v>
      </c>
      <c r="E98" t="s">
        <v>51</v>
      </c>
      <c r="F98" t="s">
        <v>211</v>
      </c>
      <c r="G98" t="s">
        <v>19</v>
      </c>
      <c r="H98" t="s">
        <v>157</v>
      </c>
      <c r="I98" t="s">
        <v>32</v>
      </c>
      <c r="J98" t="s">
        <v>212</v>
      </c>
    </row>
    <row r="99" spans="1:10" x14ac:dyDescent="0.3">
      <c r="A99" t="s">
        <v>17</v>
      </c>
      <c r="B99">
        <v>123672.7</v>
      </c>
      <c r="C99">
        <v>106036.97</v>
      </c>
      <c r="D99" s="1">
        <v>44148</v>
      </c>
      <c r="E99" t="s">
        <v>51</v>
      </c>
      <c r="F99" t="s">
        <v>211</v>
      </c>
      <c r="G99" t="s">
        <v>19</v>
      </c>
      <c r="H99" t="s">
        <v>31</v>
      </c>
      <c r="I99" t="s">
        <v>27</v>
      </c>
      <c r="J99" t="s">
        <v>213</v>
      </c>
    </row>
    <row r="100" spans="1:10" x14ac:dyDescent="0.3">
      <c r="A100" t="s">
        <v>22</v>
      </c>
      <c r="B100">
        <v>111639.29</v>
      </c>
      <c r="C100">
        <v>97204.33</v>
      </c>
      <c r="D100" s="1">
        <v>43766</v>
      </c>
      <c r="E100" t="s">
        <v>51</v>
      </c>
      <c r="F100" t="s">
        <v>214</v>
      </c>
      <c r="G100" t="s">
        <v>25</v>
      </c>
      <c r="H100" t="s">
        <v>63</v>
      </c>
      <c r="I100" t="s">
        <v>27</v>
      </c>
      <c r="J100" t="s">
        <v>215</v>
      </c>
    </row>
    <row r="101" spans="1:10" x14ac:dyDescent="0.3">
      <c r="A101" t="s">
        <v>216</v>
      </c>
      <c r="B101">
        <v>149956.93</v>
      </c>
      <c r="C101">
        <v>130087.64</v>
      </c>
      <c r="D101" s="1">
        <v>44053</v>
      </c>
      <c r="E101" t="s">
        <v>11</v>
      </c>
      <c r="F101" t="s">
        <v>102</v>
      </c>
      <c r="G101" t="s">
        <v>217</v>
      </c>
      <c r="H101" t="s">
        <v>218</v>
      </c>
      <c r="I101" t="s">
        <v>27</v>
      </c>
      <c r="J101" t="s">
        <v>219</v>
      </c>
    </row>
    <row r="102" spans="1:10" x14ac:dyDescent="0.3">
      <c r="A102" t="s">
        <v>34</v>
      </c>
      <c r="B102">
        <v>167615.14000000001</v>
      </c>
      <c r="C102">
        <v>135567.12</v>
      </c>
      <c r="D102" s="1">
        <v>44195</v>
      </c>
      <c r="E102" t="s">
        <v>51</v>
      </c>
      <c r="F102" t="s">
        <v>56</v>
      </c>
      <c r="G102" t="s">
        <v>36</v>
      </c>
      <c r="H102" t="s">
        <v>104</v>
      </c>
      <c r="I102" t="s">
        <v>27</v>
      </c>
      <c r="J102" t="s">
        <v>220</v>
      </c>
    </row>
    <row r="103" spans="1:10" x14ac:dyDescent="0.3">
      <c r="A103" t="s">
        <v>151</v>
      </c>
      <c r="B103">
        <v>84877.87</v>
      </c>
      <c r="C103">
        <v>68454</v>
      </c>
      <c r="D103" s="1">
        <v>43477</v>
      </c>
      <c r="E103" t="s">
        <v>29</v>
      </c>
      <c r="F103" t="s">
        <v>109</v>
      </c>
      <c r="G103" t="s">
        <v>152</v>
      </c>
      <c r="H103" t="s">
        <v>197</v>
      </c>
      <c r="I103" t="s">
        <v>27</v>
      </c>
      <c r="J103" t="s">
        <v>221</v>
      </c>
    </row>
    <row r="104" spans="1:10" x14ac:dyDescent="0.3">
      <c r="A104" t="s">
        <v>151</v>
      </c>
      <c r="B104">
        <v>65831.42</v>
      </c>
      <c r="C104">
        <v>52487.39</v>
      </c>
      <c r="D104" s="1">
        <v>43800</v>
      </c>
      <c r="E104" t="s">
        <v>29</v>
      </c>
      <c r="F104" t="s">
        <v>222</v>
      </c>
      <c r="G104" t="s">
        <v>152</v>
      </c>
      <c r="H104" t="s">
        <v>153</v>
      </c>
      <c r="I104" t="s">
        <v>27</v>
      </c>
      <c r="J104" t="s">
        <v>223</v>
      </c>
    </row>
    <row r="105" spans="1:10" x14ac:dyDescent="0.3">
      <c r="A105" t="s">
        <v>151</v>
      </c>
      <c r="B105">
        <v>80719.44</v>
      </c>
      <c r="C105">
        <v>64422.19</v>
      </c>
      <c r="D105" s="1">
        <v>43710</v>
      </c>
      <c r="E105" t="s">
        <v>23</v>
      </c>
      <c r="F105" t="s">
        <v>56</v>
      </c>
      <c r="G105" t="s">
        <v>152</v>
      </c>
      <c r="H105" t="s">
        <v>197</v>
      </c>
      <c r="I105" t="s">
        <v>27</v>
      </c>
      <c r="J105" t="s">
        <v>224</v>
      </c>
    </row>
    <row r="106" spans="1:10" x14ac:dyDescent="0.3">
      <c r="A106" t="s">
        <v>17</v>
      </c>
      <c r="B106">
        <v>146325.53</v>
      </c>
      <c r="C106">
        <v>118333.46</v>
      </c>
      <c r="D106" s="1">
        <v>44082</v>
      </c>
      <c r="E106" t="s">
        <v>11</v>
      </c>
      <c r="F106" t="s">
        <v>225</v>
      </c>
      <c r="G106" t="s">
        <v>19</v>
      </c>
      <c r="H106" t="s">
        <v>31</v>
      </c>
      <c r="I106" t="s">
        <v>27</v>
      </c>
      <c r="J106" t="s">
        <v>226</v>
      </c>
    </row>
    <row r="107" spans="1:10" x14ac:dyDescent="0.3">
      <c r="A107" t="s">
        <v>54</v>
      </c>
      <c r="B107">
        <v>30177.8</v>
      </c>
      <c r="C107">
        <v>23924.959999999999</v>
      </c>
      <c r="D107" s="1">
        <v>43992</v>
      </c>
      <c r="E107" t="s">
        <v>29</v>
      </c>
      <c r="F107" t="s">
        <v>227</v>
      </c>
      <c r="G107" t="s">
        <v>57</v>
      </c>
      <c r="H107" t="s">
        <v>58</v>
      </c>
      <c r="I107" t="s">
        <v>32</v>
      </c>
      <c r="J107" t="s">
        <v>228</v>
      </c>
    </row>
    <row r="108" spans="1:10" x14ac:dyDescent="0.3">
      <c r="A108" t="s">
        <v>151</v>
      </c>
      <c r="B108">
        <v>135662.46</v>
      </c>
      <c r="C108">
        <v>116764.68</v>
      </c>
      <c r="D108" s="1">
        <v>43866</v>
      </c>
      <c r="E108" t="s">
        <v>76</v>
      </c>
      <c r="F108" t="s">
        <v>229</v>
      </c>
      <c r="G108" t="s">
        <v>152</v>
      </c>
      <c r="H108" t="s">
        <v>153</v>
      </c>
      <c r="I108" t="s">
        <v>27</v>
      </c>
      <c r="J108" t="s">
        <v>230</v>
      </c>
    </row>
    <row r="109" spans="1:10" x14ac:dyDescent="0.3">
      <c r="A109" t="s">
        <v>54</v>
      </c>
      <c r="B109">
        <v>102918.09</v>
      </c>
      <c r="C109">
        <v>87480.38</v>
      </c>
      <c r="D109" s="1">
        <v>43766</v>
      </c>
      <c r="E109" t="s">
        <v>51</v>
      </c>
      <c r="F109" t="s">
        <v>135</v>
      </c>
      <c r="G109" t="s">
        <v>57</v>
      </c>
      <c r="H109" t="s">
        <v>58</v>
      </c>
      <c r="I109" t="s">
        <v>27</v>
      </c>
      <c r="J109" t="s">
        <v>231</v>
      </c>
    </row>
    <row r="110" spans="1:10" x14ac:dyDescent="0.3">
      <c r="A110" t="s">
        <v>22</v>
      </c>
      <c r="B110">
        <v>138764.6</v>
      </c>
      <c r="C110">
        <v>111414.1</v>
      </c>
      <c r="D110" s="1">
        <v>44109</v>
      </c>
      <c r="E110" t="s">
        <v>23</v>
      </c>
      <c r="F110" t="s">
        <v>56</v>
      </c>
      <c r="G110" t="s">
        <v>25</v>
      </c>
      <c r="H110" t="s">
        <v>87</v>
      </c>
      <c r="I110" t="s">
        <v>27</v>
      </c>
      <c r="J110" t="s">
        <v>232</v>
      </c>
    </row>
    <row r="111" spans="1:10" x14ac:dyDescent="0.3">
      <c r="A111" t="s">
        <v>10</v>
      </c>
      <c r="B111">
        <v>106142.65</v>
      </c>
      <c r="C111">
        <v>88151.47</v>
      </c>
      <c r="D111" s="1">
        <v>43561</v>
      </c>
      <c r="E111" t="s">
        <v>11</v>
      </c>
      <c r="F111" t="s">
        <v>233</v>
      </c>
      <c r="G111" t="s">
        <v>13</v>
      </c>
      <c r="H111" t="s">
        <v>81</v>
      </c>
      <c r="I111" t="s">
        <v>27</v>
      </c>
      <c r="J111" t="s">
        <v>234</v>
      </c>
    </row>
    <row r="112" spans="1:10" x14ac:dyDescent="0.3">
      <c r="A112" t="s">
        <v>10</v>
      </c>
      <c r="B112">
        <v>250315.06</v>
      </c>
      <c r="C112">
        <v>218825.43</v>
      </c>
      <c r="D112" s="1">
        <v>43684</v>
      </c>
      <c r="E112" t="s">
        <v>76</v>
      </c>
      <c r="F112" t="s">
        <v>211</v>
      </c>
      <c r="G112" t="s">
        <v>13</v>
      </c>
      <c r="H112" t="s">
        <v>46</v>
      </c>
      <c r="I112" t="s">
        <v>27</v>
      </c>
      <c r="J112" t="s">
        <v>235</v>
      </c>
    </row>
    <row r="113" spans="1:10" x14ac:dyDescent="0.3">
      <c r="A113" t="s">
        <v>17</v>
      </c>
      <c r="B113">
        <v>162199.24</v>
      </c>
      <c r="C113">
        <v>130878.57</v>
      </c>
      <c r="D113" s="1">
        <v>44004</v>
      </c>
      <c r="E113" t="s">
        <v>23</v>
      </c>
      <c r="F113" t="s">
        <v>236</v>
      </c>
      <c r="G113" t="s">
        <v>19</v>
      </c>
      <c r="H113" t="s">
        <v>49</v>
      </c>
      <c r="I113" t="s">
        <v>27</v>
      </c>
      <c r="J113" t="s">
        <v>237</v>
      </c>
    </row>
    <row r="114" spans="1:10" x14ac:dyDescent="0.3">
      <c r="A114" t="s">
        <v>17</v>
      </c>
      <c r="B114">
        <v>186209.44</v>
      </c>
      <c r="C114">
        <v>148818.57999999999</v>
      </c>
      <c r="D114" s="1">
        <v>43640</v>
      </c>
      <c r="E114" t="s">
        <v>40</v>
      </c>
      <c r="F114" t="s">
        <v>74</v>
      </c>
      <c r="G114" t="s">
        <v>19</v>
      </c>
      <c r="H114" t="s">
        <v>49</v>
      </c>
      <c r="I114" t="s">
        <v>32</v>
      </c>
      <c r="J114" t="s">
        <v>238</v>
      </c>
    </row>
    <row r="115" spans="1:10" x14ac:dyDescent="0.3">
      <c r="A115" t="s">
        <v>22</v>
      </c>
      <c r="B115">
        <v>116774.43</v>
      </c>
      <c r="C115">
        <v>98954.65</v>
      </c>
      <c r="D115" s="1">
        <v>43576</v>
      </c>
      <c r="E115" t="s">
        <v>55</v>
      </c>
      <c r="F115" t="s">
        <v>41</v>
      </c>
      <c r="G115" t="s">
        <v>25</v>
      </c>
      <c r="H115" t="s">
        <v>63</v>
      </c>
      <c r="I115" t="s">
        <v>32</v>
      </c>
      <c r="J115" t="s">
        <v>239</v>
      </c>
    </row>
    <row r="116" spans="1:10" x14ac:dyDescent="0.3">
      <c r="A116" t="s">
        <v>169</v>
      </c>
      <c r="B116">
        <v>69017.42</v>
      </c>
      <c r="C116">
        <v>55897.21</v>
      </c>
      <c r="D116" s="1">
        <v>43865</v>
      </c>
      <c r="E116" t="s">
        <v>29</v>
      </c>
      <c r="F116" t="s">
        <v>24</v>
      </c>
      <c r="G116" t="s">
        <v>171</v>
      </c>
      <c r="H116" t="s">
        <v>172</v>
      </c>
      <c r="I116" t="s">
        <v>27</v>
      </c>
      <c r="J116" t="s">
        <v>240</v>
      </c>
    </row>
    <row r="117" spans="1:10" x14ac:dyDescent="0.3">
      <c r="A117" t="s">
        <v>17</v>
      </c>
      <c r="B117">
        <v>27400.69</v>
      </c>
      <c r="C117">
        <v>22832.99</v>
      </c>
      <c r="D117" s="1">
        <v>43726</v>
      </c>
      <c r="E117" t="s">
        <v>29</v>
      </c>
      <c r="F117" t="s">
        <v>77</v>
      </c>
      <c r="G117" t="s">
        <v>19</v>
      </c>
      <c r="H117" t="s">
        <v>78</v>
      </c>
      <c r="I117" t="s">
        <v>27</v>
      </c>
      <c r="J117" t="s">
        <v>241</v>
      </c>
    </row>
    <row r="118" spans="1:10" x14ac:dyDescent="0.3">
      <c r="A118" t="s">
        <v>17</v>
      </c>
      <c r="B118">
        <v>75483.45</v>
      </c>
      <c r="C118">
        <v>60077.279999999999</v>
      </c>
      <c r="D118" s="1">
        <v>43536</v>
      </c>
      <c r="E118" t="s">
        <v>23</v>
      </c>
      <c r="F118" t="s">
        <v>56</v>
      </c>
      <c r="G118" t="s">
        <v>19</v>
      </c>
      <c r="H118" t="s">
        <v>157</v>
      </c>
      <c r="I118" t="s">
        <v>27</v>
      </c>
      <c r="J118" t="s">
        <v>242</v>
      </c>
    </row>
    <row r="119" spans="1:10" x14ac:dyDescent="0.3">
      <c r="A119" t="s">
        <v>10</v>
      </c>
      <c r="B119">
        <v>89376.84</v>
      </c>
      <c r="C119">
        <v>73646.52</v>
      </c>
      <c r="D119" s="1">
        <v>43513</v>
      </c>
      <c r="E119" t="s">
        <v>76</v>
      </c>
      <c r="F119" t="s">
        <v>56</v>
      </c>
      <c r="G119" t="s">
        <v>13</v>
      </c>
      <c r="H119" t="s">
        <v>46</v>
      </c>
      <c r="I119" t="s">
        <v>27</v>
      </c>
      <c r="J119" t="s">
        <v>243</v>
      </c>
    </row>
    <row r="120" spans="1:10" x14ac:dyDescent="0.3">
      <c r="A120" t="s">
        <v>17</v>
      </c>
      <c r="B120">
        <v>150135</v>
      </c>
      <c r="C120">
        <v>131067.85</v>
      </c>
      <c r="D120" s="1">
        <v>44083</v>
      </c>
      <c r="E120" t="s">
        <v>51</v>
      </c>
      <c r="F120" t="s">
        <v>244</v>
      </c>
      <c r="G120" t="s">
        <v>19</v>
      </c>
      <c r="H120" t="s">
        <v>49</v>
      </c>
      <c r="I120" t="s">
        <v>27</v>
      </c>
      <c r="J120" t="s">
        <v>245</v>
      </c>
    </row>
    <row r="121" spans="1:10" x14ac:dyDescent="0.3">
      <c r="A121" t="s">
        <v>22</v>
      </c>
      <c r="B121">
        <v>34930.080000000002</v>
      </c>
      <c r="C121">
        <v>28017.42</v>
      </c>
      <c r="D121" s="1">
        <v>43476</v>
      </c>
      <c r="E121" t="s">
        <v>23</v>
      </c>
      <c r="F121" t="s">
        <v>80</v>
      </c>
      <c r="G121" t="s">
        <v>25</v>
      </c>
      <c r="H121" t="s">
        <v>167</v>
      </c>
      <c r="I121" t="s">
        <v>27</v>
      </c>
      <c r="J121" t="s">
        <v>246</v>
      </c>
    </row>
    <row r="122" spans="1:10" x14ac:dyDescent="0.3">
      <c r="A122" t="s">
        <v>247</v>
      </c>
      <c r="B122">
        <v>122889.28</v>
      </c>
      <c r="C122">
        <v>103042.66</v>
      </c>
      <c r="D122" s="1">
        <v>44162</v>
      </c>
      <c r="E122" t="s">
        <v>51</v>
      </c>
      <c r="F122" t="s">
        <v>41</v>
      </c>
      <c r="G122" t="s">
        <v>248</v>
      </c>
      <c r="H122" t="s">
        <v>249</v>
      </c>
      <c r="I122" t="s">
        <v>27</v>
      </c>
      <c r="J122" t="s">
        <v>250</v>
      </c>
    </row>
    <row r="123" spans="1:10" x14ac:dyDescent="0.3">
      <c r="A123" t="s">
        <v>10</v>
      </c>
      <c r="B123">
        <v>48179.57</v>
      </c>
      <c r="C123">
        <v>41405.519999999997</v>
      </c>
      <c r="D123" s="1">
        <v>44057</v>
      </c>
      <c r="E123" t="s">
        <v>91</v>
      </c>
      <c r="F123" t="s">
        <v>95</v>
      </c>
      <c r="G123" t="s">
        <v>13</v>
      </c>
      <c r="H123" t="s">
        <v>81</v>
      </c>
      <c r="J123" t="s">
        <v>251</v>
      </c>
    </row>
    <row r="124" spans="1:10" x14ac:dyDescent="0.3">
      <c r="A124" t="s">
        <v>129</v>
      </c>
      <c r="B124">
        <v>74480.56</v>
      </c>
      <c r="C124">
        <v>60023.88</v>
      </c>
      <c r="D124" s="1">
        <v>43985</v>
      </c>
      <c r="E124" t="s">
        <v>40</v>
      </c>
      <c r="F124" t="s">
        <v>189</v>
      </c>
      <c r="G124" t="s">
        <v>130</v>
      </c>
      <c r="H124" t="s">
        <v>159</v>
      </c>
      <c r="I124" t="s">
        <v>27</v>
      </c>
      <c r="J124" t="s">
        <v>252</v>
      </c>
    </row>
    <row r="125" spans="1:10" x14ac:dyDescent="0.3">
      <c r="A125" t="s">
        <v>34</v>
      </c>
      <c r="B125">
        <v>27987.13</v>
      </c>
      <c r="C125">
        <v>24001.759999999998</v>
      </c>
      <c r="D125" s="1">
        <v>43550</v>
      </c>
      <c r="E125" t="s">
        <v>11</v>
      </c>
      <c r="F125" t="s">
        <v>41</v>
      </c>
      <c r="G125" t="s">
        <v>36</v>
      </c>
      <c r="H125" t="s">
        <v>37</v>
      </c>
      <c r="I125" t="s">
        <v>27</v>
      </c>
      <c r="J125" t="s">
        <v>253</v>
      </c>
    </row>
    <row r="126" spans="1:10" x14ac:dyDescent="0.3">
      <c r="A126" t="s">
        <v>122</v>
      </c>
      <c r="B126">
        <v>159294.28</v>
      </c>
      <c r="C126">
        <v>130605.38</v>
      </c>
      <c r="D126" s="1">
        <v>44082</v>
      </c>
      <c r="E126" t="s">
        <v>40</v>
      </c>
      <c r="F126" t="s">
        <v>71</v>
      </c>
      <c r="G126" t="s">
        <v>123</v>
      </c>
      <c r="H126" t="s">
        <v>254</v>
      </c>
      <c r="I126" t="s">
        <v>27</v>
      </c>
      <c r="J126" t="s">
        <v>255</v>
      </c>
    </row>
    <row r="127" spans="1:10" x14ac:dyDescent="0.3">
      <c r="A127" t="s">
        <v>22</v>
      </c>
      <c r="B127">
        <v>37582.129999999997</v>
      </c>
      <c r="C127">
        <v>31967.360000000001</v>
      </c>
      <c r="D127" s="1">
        <v>44017</v>
      </c>
      <c r="E127" t="s">
        <v>23</v>
      </c>
      <c r="F127" t="s">
        <v>256</v>
      </c>
      <c r="G127" t="s">
        <v>25</v>
      </c>
      <c r="H127" t="s">
        <v>167</v>
      </c>
      <c r="I127" t="s">
        <v>32</v>
      </c>
      <c r="J127" t="s">
        <v>257</v>
      </c>
    </row>
    <row r="128" spans="1:10" x14ac:dyDescent="0.3">
      <c r="A128" t="s">
        <v>66</v>
      </c>
      <c r="B128">
        <v>104743.22</v>
      </c>
      <c r="C128">
        <v>83281.33</v>
      </c>
      <c r="D128" s="1">
        <v>43548</v>
      </c>
      <c r="E128" t="s">
        <v>29</v>
      </c>
      <c r="F128" t="s">
        <v>56</v>
      </c>
      <c r="G128" t="s">
        <v>68</v>
      </c>
      <c r="H128" t="s">
        <v>69</v>
      </c>
      <c r="I128" t="s">
        <v>32</v>
      </c>
      <c r="J128" t="s">
        <v>258</v>
      </c>
    </row>
    <row r="129" spans="1:10" x14ac:dyDescent="0.3">
      <c r="A129" t="s">
        <v>34</v>
      </c>
      <c r="B129">
        <v>151012.12</v>
      </c>
      <c r="C129">
        <v>126080.02</v>
      </c>
      <c r="D129" s="1">
        <v>44068</v>
      </c>
      <c r="E129" t="s">
        <v>55</v>
      </c>
      <c r="F129" t="s">
        <v>56</v>
      </c>
      <c r="G129" t="s">
        <v>36</v>
      </c>
      <c r="H129" t="s">
        <v>93</v>
      </c>
      <c r="I129" t="s">
        <v>27</v>
      </c>
      <c r="J129" t="s">
        <v>259</v>
      </c>
    </row>
    <row r="130" spans="1:10" x14ac:dyDescent="0.3">
      <c r="A130" t="s">
        <v>10</v>
      </c>
      <c r="B130">
        <v>233858.47</v>
      </c>
      <c r="C130">
        <v>185543.31</v>
      </c>
      <c r="D130" s="1">
        <v>43867</v>
      </c>
      <c r="E130" t="s">
        <v>76</v>
      </c>
      <c r="F130" t="s">
        <v>45</v>
      </c>
      <c r="G130" t="s">
        <v>13</v>
      </c>
      <c r="H130" t="s">
        <v>46</v>
      </c>
      <c r="I130" t="s">
        <v>27</v>
      </c>
      <c r="J130" t="s">
        <v>260</v>
      </c>
    </row>
    <row r="131" spans="1:10" x14ac:dyDescent="0.3">
      <c r="A131" t="s">
        <v>34</v>
      </c>
      <c r="B131">
        <v>83097.399999999994</v>
      </c>
      <c r="C131">
        <v>68148.179999999993</v>
      </c>
      <c r="D131" s="1">
        <v>43546</v>
      </c>
      <c r="E131" t="s">
        <v>40</v>
      </c>
      <c r="F131" t="s">
        <v>229</v>
      </c>
      <c r="G131" t="s">
        <v>36</v>
      </c>
      <c r="H131" t="s">
        <v>93</v>
      </c>
      <c r="I131" t="s">
        <v>15</v>
      </c>
      <c r="J131" t="s">
        <v>261</v>
      </c>
    </row>
    <row r="132" spans="1:10" x14ac:dyDescent="0.3">
      <c r="A132" t="s">
        <v>143</v>
      </c>
      <c r="B132">
        <v>68745.86</v>
      </c>
      <c r="C132">
        <v>58014.63</v>
      </c>
      <c r="D132" s="1">
        <v>43712</v>
      </c>
      <c r="E132" t="s">
        <v>29</v>
      </c>
      <c r="F132" t="s">
        <v>41</v>
      </c>
      <c r="G132" t="s">
        <v>145</v>
      </c>
      <c r="H132" t="s">
        <v>262</v>
      </c>
      <c r="I132" t="s">
        <v>27</v>
      </c>
      <c r="J132" t="s">
        <v>263</v>
      </c>
    </row>
    <row r="133" spans="1:10" x14ac:dyDescent="0.3">
      <c r="A133" t="s">
        <v>151</v>
      </c>
      <c r="B133">
        <v>99887.86</v>
      </c>
      <c r="C133">
        <v>84045.65</v>
      </c>
      <c r="D133" s="1">
        <v>44107</v>
      </c>
      <c r="E133" t="s">
        <v>29</v>
      </c>
      <c r="F133" t="s">
        <v>74</v>
      </c>
      <c r="G133" t="s">
        <v>152</v>
      </c>
      <c r="H133" t="s">
        <v>197</v>
      </c>
      <c r="I133" t="s">
        <v>27</v>
      </c>
      <c r="J133" t="s">
        <v>264</v>
      </c>
    </row>
    <row r="134" spans="1:10" x14ac:dyDescent="0.3">
      <c r="A134" t="s">
        <v>17</v>
      </c>
      <c r="B134">
        <v>212521.26</v>
      </c>
      <c r="C134">
        <v>172014.71</v>
      </c>
      <c r="D134" s="1">
        <v>43636</v>
      </c>
      <c r="E134" t="s">
        <v>91</v>
      </c>
      <c r="F134" t="s">
        <v>56</v>
      </c>
      <c r="G134" t="s">
        <v>19</v>
      </c>
      <c r="H134" t="s">
        <v>31</v>
      </c>
      <c r="I134" t="s">
        <v>27</v>
      </c>
      <c r="J134" t="s">
        <v>265</v>
      </c>
    </row>
    <row r="135" spans="1:10" x14ac:dyDescent="0.3">
      <c r="A135" t="s">
        <v>54</v>
      </c>
      <c r="B135">
        <v>161217.16</v>
      </c>
      <c r="C135">
        <v>135696.48000000001</v>
      </c>
      <c r="D135" s="1">
        <v>43758</v>
      </c>
      <c r="E135" t="s">
        <v>11</v>
      </c>
      <c r="F135" t="s">
        <v>41</v>
      </c>
      <c r="G135" t="s">
        <v>57</v>
      </c>
      <c r="H135" t="s">
        <v>58</v>
      </c>
      <c r="I135" t="s">
        <v>27</v>
      </c>
      <c r="J135" t="s">
        <v>266</v>
      </c>
    </row>
    <row r="136" spans="1:10" x14ac:dyDescent="0.3">
      <c r="A136" t="s">
        <v>10</v>
      </c>
      <c r="B136">
        <v>78542.59</v>
      </c>
      <c r="C136">
        <v>68010.03</v>
      </c>
      <c r="D136" s="1">
        <v>43611</v>
      </c>
      <c r="E136" t="s">
        <v>11</v>
      </c>
      <c r="F136" t="s">
        <v>80</v>
      </c>
      <c r="G136" t="s">
        <v>13</v>
      </c>
      <c r="H136" t="s">
        <v>110</v>
      </c>
      <c r="I136" t="s">
        <v>27</v>
      </c>
      <c r="J136" t="s">
        <v>267</v>
      </c>
    </row>
    <row r="137" spans="1:10" x14ac:dyDescent="0.3">
      <c r="A137" t="s">
        <v>34</v>
      </c>
      <c r="B137">
        <v>90559.16</v>
      </c>
      <c r="C137">
        <v>75318.05</v>
      </c>
      <c r="D137" s="1">
        <v>43703</v>
      </c>
      <c r="E137" t="s">
        <v>181</v>
      </c>
      <c r="F137" t="s">
        <v>92</v>
      </c>
      <c r="G137" t="s">
        <v>36</v>
      </c>
      <c r="H137" t="s">
        <v>37</v>
      </c>
      <c r="I137" t="s">
        <v>27</v>
      </c>
      <c r="J137" t="s">
        <v>268</v>
      </c>
    </row>
    <row r="138" spans="1:10" x14ac:dyDescent="0.3">
      <c r="A138" t="s">
        <v>10</v>
      </c>
      <c r="B138">
        <v>240940.97</v>
      </c>
      <c r="C138">
        <v>195138.09</v>
      </c>
      <c r="D138" s="1">
        <v>43826</v>
      </c>
      <c r="E138" t="s">
        <v>55</v>
      </c>
      <c r="F138" t="s">
        <v>269</v>
      </c>
      <c r="G138" t="s">
        <v>13</v>
      </c>
      <c r="H138" t="s">
        <v>14</v>
      </c>
      <c r="I138" t="s">
        <v>27</v>
      </c>
      <c r="J138" t="s">
        <v>270</v>
      </c>
    </row>
    <row r="139" spans="1:10" x14ac:dyDescent="0.3">
      <c r="A139" t="s">
        <v>17</v>
      </c>
      <c r="B139">
        <v>133754.65</v>
      </c>
      <c r="C139">
        <v>106147.69</v>
      </c>
      <c r="D139" s="1">
        <v>44092</v>
      </c>
      <c r="E139" t="s">
        <v>11</v>
      </c>
      <c r="F139" t="s">
        <v>126</v>
      </c>
      <c r="G139" t="s">
        <v>19</v>
      </c>
      <c r="H139" t="s">
        <v>157</v>
      </c>
      <c r="I139" t="s">
        <v>27</v>
      </c>
      <c r="J139" t="s">
        <v>271</v>
      </c>
    </row>
    <row r="140" spans="1:10" x14ac:dyDescent="0.3">
      <c r="A140" t="s">
        <v>10</v>
      </c>
      <c r="B140">
        <v>17524.02</v>
      </c>
      <c r="C140">
        <v>14122.61</v>
      </c>
      <c r="D140" s="1">
        <v>44167</v>
      </c>
      <c r="E140" t="s">
        <v>91</v>
      </c>
      <c r="F140" t="s">
        <v>272</v>
      </c>
      <c r="G140" t="s">
        <v>13</v>
      </c>
      <c r="H140" t="s">
        <v>72</v>
      </c>
      <c r="I140" t="s">
        <v>32</v>
      </c>
      <c r="J140" t="s">
        <v>273</v>
      </c>
    </row>
    <row r="141" spans="1:10" x14ac:dyDescent="0.3">
      <c r="A141" t="s">
        <v>10</v>
      </c>
      <c r="B141">
        <v>57927.54</v>
      </c>
      <c r="C141">
        <v>48914.01</v>
      </c>
      <c r="D141" s="1">
        <v>43483</v>
      </c>
      <c r="E141" t="s">
        <v>11</v>
      </c>
      <c r="F141" t="s">
        <v>62</v>
      </c>
      <c r="G141" t="s">
        <v>13</v>
      </c>
      <c r="H141" t="s">
        <v>46</v>
      </c>
      <c r="I141" t="s">
        <v>32</v>
      </c>
      <c r="J141" t="s">
        <v>274</v>
      </c>
    </row>
    <row r="142" spans="1:10" x14ac:dyDescent="0.3">
      <c r="A142" t="s">
        <v>129</v>
      </c>
      <c r="B142">
        <v>100978.49</v>
      </c>
      <c r="C142">
        <v>86568.86</v>
      </c>
      <c r="D142" s="1">
        <v>43716</v>
      </c>
      <c r="E142" t="s">
        <v>23</v>
      </c>
      <c r="F142" t="s">
        <v>56</v>
      </c>
      <c r="G142" t="s">
        <v>130</v>
      </c>
      <c r="H142" t="s">
        <v>159</v>
      </c>
      <c r="I142" t="s">
        <v>27</v>
      </c>
      <c r="J142" t="s">
        <v>275</v>
      </c>
    </row>
    <row r="143" spans="1:10" x14ac:dyDescent="0.3">
      <c r="A143" t="s">
        <v>151</v>
      </c>
      <c r="B143">
        <v>36070.76</v>
      </c>
      <c r="C143">
        <v>29339.96</v>
      </c>
      <c r="D143" s="1">
        <v>43602</v>
      </c>
      <c r="E143" t="s">
        <v>99</v>
      </c>
      <c r="F143" t="s">
        <v>74</v>
      </c>
      <c r="G143" t="s">
        <v>152</v>
      </c>
      <c r="H143" t="s">
        <v>197</v>
      </c>
      <c r="I143" t="s">
        <v>32</v>
      </c>
      <c r="J143" t="s">
        <v>276</v>
      </c>
    </row>
    <row r="144" spans="1:10" x14ac:dyDescent="0.3">
      <c r="A144" t="s">
        <v>22</v>
      </c>
      <c r="B144">
        <v>104711.22</v>
      </c>
      <c r="C144">
        <v>90868.4</v>
      </c>
      <c r="D144" s="1">
        <v>44068</v>
      </c>
      <c r="E144" t="s">
        <v>40</v>
      </c>
      <c r="F144" t="s">
        <v>277</v>
      </c>
      <c r="G144" t="s">
        <v>25</v>
      </c>
      <c r="H144" t="s">
        <v>26</v>
      </c>
      <c r="I144" t="s">
        <v>27</v>
      </c>
      <c r="J144" t="s">
        <v>278</v>
      </c>
    </row>
    <row r="145" spans="1:10" x14ac:dyDescent="0.3">
      <c r="A145" t="s">
        <v>22</v>
      </c>
      <c r="B145">
        <v>90994.31</v>
      </c>
      <c r="C145">
        <v>72540.66</v>
      </c>
      <c r="D145" s="1">
        <v>44079</v>
      </c>
      <c r="E145" t="s">
        <v>29</v>
      </c>
      <c r="F145" t="s">
        <v>109</v>
      </c>
      <c r="G145" t="s">
        <v>25</v>
      </c>
      <c r="H145" t="s">
        <v>87</v>
      </c>
      <c r="I145" t="s">
        <v>27</v>
      </c>
      <c r="J145" t="s">
        <v>279</v>
      </c>
    </row>
    <row r="146" spans="1:10" x14ac:dyDescent="0.3">
      <c r="A146" t="s">
        <v>122</v>
      </c>
      <c r="B146">
        <v>105277.2</v>
      </c>
      <c r="C146">
        <v>90759.47</v>
      </c>
      <c r="D146" s="1">
        <v>43790</v>
      </c>
      <c r="E146" t="s">
        <v>91</v>
      </c>
      <c r="F146" t="s">
        <v>102</v>
      </c>
      <c r="G146" t="s">
        <v>123</v>
      </c>
      <c r="H146" t="s">
        <v>254</v>
      </c>
      <c r="I146" t="s">
        <v>27</v>
      </c>
      <c r="J146" t="s">
        <v>280</v>
      </c>
    </row>
    <row r="147" spans="1:10" x14ac:dyDescent="0.3">
      <c r="A147" t="s">
        <v>129</v>
      </c>
      <c r="B147">
        <v>194962.05</v>
      </c>
      <c r="C147">
        <v>154975.32999999999</v>
      </c>
      <c r="D147" s="1">
        <v>43958</v>
      </c>
      <c r="E147" t="s">
        <v>23</v>
      </c>
      <c r="F147" t="s">
        <v>149</v>
      </c>
      <c r="G147" t="s">
        <v>130</v>
      </c>
      <c r="H147" t="s">
        <v>131</v>
      </c>
      <c r="I147" t="s">
        <v>27</v>
      </c>
      <c r="J147" t="s">
        <v>281</v>
      </c>
    </row>
    <row r="148" spans="1:10" x14ac:dyDescent="0.3">
      <c r="A148" t="s">
        <v>22</v>
      </c>
      <c r="B148">
        <v>85515.6</v>
      </c>
      <c r="C148">
        <v>67959.25</v>
      </c>
      <c r="D148" s="1">
        <v>43751</v>
      </c>
      <c r="E148" t="s">
        <v>11</v>
      </c>
      <c r="F148" t="s">
        <v>244</v>
      </c>
      <c r="G148" t="s">
        <v>25</v>
      </c>
      <c r="H148" t="s">
        <v>87</v>
      </c>
      <c r="I148" t="s">
        <v>27</v>
      </c>
      <c r="J148" t="s">
        <v>282</v>
      </c>
    </row>
    <row r="149" spans="1:10" x14ac:dyDescent="0.3">
      <c r="A149" t="s">
        <v>17</v>
      </c>
      <c r="B149">
        <v>84035.82</v>
      </c>
      <c r="C149">
        <v>71329.600000000006</v>
      </c>
      <c r="D149" s="1">
        <v>44131</v>
      </c>
      <c r="E149" t="s">
        <v>91</v>
      </c>
      <c r="F149" t="s">
        <v>56</v>
      </c>
      <c r="G149" t="s">
        <v>19</v>
      </c>
      <c r="H149" t="s">
        <v>78</v>
      </c>
      <c r="I149" t="s">
        <v>15</v>
      </c>
      <c r="J149" t="s">
        <v>283</v>
      </c>
    </row>
    <row r="150" spans="1:10" x14ac:dyDescent="0.3">
      <c r="A150" t="s">
        <v>10</v>
      </c>
      <c r="B150">
        <v>93996.68</v>
      </c>
      <c r="C150">
        <v>77171.27</v>
      </c>
      <c r="D150" s="1">
        <v>44114</v>
      </c>
      <c r="E150" t="s">
        <v>11</v>
      </c>
      <c r="F150" t="s">
        <v>135</v>
      </c>
      <c r="G150" t="s">
        <v>13</v>
      </c>
      <c r="H150" t="s">
        <v>46</v>
      </c>
      <c r="I150" t="s">
        <v>32</v>
      </c>
      <c r="J150" t="s">
        <v>284</v>
      </c>
    </row>
    <row r="151" spans="1:10" x14ac:dyDescent="0.3">
      <c r="A151" t="s">
        <v>17</v>
      </c>
      <c r="B151">
        <v>31161.759999999998</v>
      </c>
      <c r="C151">
        <v>27300.82</v>
      </c>
      <c r="D151" s="1">
        <v>44079</v>
      </c>
      <c r="E151" t="s">
        <v>76</v>
      </c>
      <c r="F151" t="s">
        <v>285</v>
      </c>
      <c r="G151" t="s">
        <v>19</v>
      </c>
      <c r="H151" t="s">
        <v>78</v>
      </c>
      <c r="I151" t="s">
        <v>32</v>
      </c>
      <c r="J151" t="s">
        <v>286</v>
      </c>
    </row>
    <row r="152" spans="1:10" x14ac:dyDescent="0.3">
      <c r="A152" t="s">
        <v>66</v>
      </c>
      <c r="B152">
        <v>148359.67999999999</v>
      </c>
      <c r="C152">
        <v>118480.04</v>
      </c>
      <c r="D152" s="1">
        <v>44035</v>
      </c>
      <c r="E152" t="s">
        <v>11</v>
      </c>
      <c r="F152" t="s">
        <v>92</v>
      </c>
      <c r="G152" t="s">
        <v>68</v>
      </c>
      <c r="H152" t="s">
        <v>69</v>
      </c>
      <c r="I152" t="s">
        <v>27</v>
      </c>
      <c r="J152" t="s">
        <v>287</v>
      </c>
    </row>
    <row r="153" spans="1:10" x14ac:dyDescent="0.3">
      <c r="A153" t="s">
        <v>10</v>
      </c>
      <c r="B153">
        <v>71119.23</v>
      </c>
      <c r="C153">
        <v>59220.98</v>
      </c>
      <c r="D153" s="1">
        <v>43711</v>
      </c>
      <c r="E153" t="s">
        <v>91</v>
      </c>
      <c r="F153" t="s">
        <v>56</v>
      </c>
      <c r="G153" t="s">
        <v>13</v>
      </c>
      <c r="H153" t="s">
        <v>46</v>
      </c>
      <c r="I153" t="s">
        <v>27</v>
      </c>
      <c r="J153" t="s">
        <v>288</v>
      </c>
    </row>
    <row r="154" spans="1:10" x14ac:dyDescent="0.3">
      <c r="A154" t="s">
        <v>22</v>
      </c>
      <c r="B154">
        <v>141965.10999999999</v>
      </c>
      <c r="C154">
        <v>119193.91</v>
      </c>
      <c r="D154" s="1">
        <v>43726</v>
      </c>
      <c r="E154" t="s">
        <v>76</v>
      </c>
      <c r="F154" t="s">
        <v>77</v>
      </c>
      <c r="G154" t="s">
        <v>25</v>
      </c>
      <c r="H154" t="s">
        <v>63</v>
      </c>
      <c r="I154" t="s">
        <v>27</v>
      </c>
      <c r="J154" t="s">
        <v>289</v>
      </c>
    </row>
    <row r="155" spans="1:10" x14ac:dyDescent="0.3">
      <c r="A155" t="s">
        <v>129</v>
      </c>
      <c r="B155">
        <v>127994.87</v>
      </c>
      <c r="C155">
        <v>105800.56</v>
      </c>
      <c r="D155" s="1">
        <v>43839</v>
      </c>
      <c r="E155" t="s">
        <v>91</v>
      </c>
      <c r="F155" t="s">
        <v>24</v>
      </c>
      <c r="G155" t="s">
        <v>130</v>
      </c>
      <c r="H155" t="s">
        <v>131</v>
      </c>
      <c r="I155" t="s">
        <v>27</v>
      </c>
      <c r="J155" t="s">
        <v>290</v>
      </c>
    </row>
    <row r="156" spans="1:10" x14ac:dyDescent="0.3">
      <c r="A156" t="s">
        <v>22</v>
      </c>
      <c r="B156">
        <v>106325.72</v>
      </c>
      <c r="C156">
        <v>92705.4</v>
      </c>
      <c r="D156" s="1">
        <v>43727</v>
      </c>
      <c r="E156" t="s">
        <v>11</v>
      </c>
      <c r="F156" t="s">
        <v>272</v>
      </c>
      <c r="G156" t="s">
        <v>25</v>
      </c>
      <c r="H156" t="s">
        <v>52</v>
      </c>
      <c r="I156" t="s">
        <v>32</v>
      </c>
      <c r="J156" t="s">
        <v>291</v>
      </c>
    </row>
    <row r="157" spans="1:10" x14ac:dyDescent="0.3">
      <c r="A157" t="s">
        <v>10</v>
      </c>
      <c r="B157">
        <v>78679.600000000006</v>
      </c>
      <c r="C157">
        <v>62416.53</v>
      </c>
      <c r="D157" s="1">
        <v>43809</v>
      </c>
      <c r="E157" t="s">
        <v>11</v>
      </c>
      <c r="F157" t="s">
        <v>292</v>
      </c>
      <c r="G157" t="s">
        <v>13</v>
      </c>
      <c r="H157" t="s">
        <v>14</v>
      </c>
      <c r="I157" t="s">
        <v>27</v>
      </c>
      <c r="J157" t="s">
        <v>293</v>
      </c>
    </row>
    <row r="158" spans="1:10" x14ac:dyDescent="0.3">
      <c r="A158" t="s">
        <v>122</v>
      </c>
      <c r="B158">
        <v>37073.910000000003</v>
      </c>
      <c r="C158">
        <v>30274.55</v>
      </c>
      <c r="D158" s="1">
        <v>43581</v>
      </c>
      <c r="E158" t="s">
        <v>91</v>
      </c>
      <c r="F158" t="s">
        <v>294</v>
      </c>
      <c r="G158" t="s">
        <v>123</v>
      </c>
      <c r="H158" t="s">
        <v>124</v>
      </c>
      <c r="I158" t="s">
        <v>15</v>
      </c>
      <c r="J158" t="s">
        <v>295</v>
      </c>
    </row>
    <row r="159" spans="1:10" x14ac:dyDescent="0.3">
      <c r="A159" t="s">
        <v>17</v>
      </c>
      <c r="B159">
        <v>108968.67</v>
      </c>
      <c r="C159">
        <v>88395.39</v>
      </c>
      <c r="D159" s="1">
        <v>43755</v>
      </c>
      <c r="E159" t="s">
        <v>91</v>
      </c>
      <c r="F159" t="s">
        <v>56</v>
      </c>
      <c r="G159" t="s">
        <v>19</v>
      </c>
      <c r="H159" t="s">
        <v>157</v>
      </c>
      <c r="I159" t="s">
        <v>27</v>
      </c>
      <c r="J159" t="s">
        <v>296</v>
      </c>
    </row>
    <row r="160" spans="1:10" x14ac:dyDescent="0.3">
      <c r="A160" t="s">
        <v>143</v>
      </c>
      <c r="B160">
        <v>174262.11</v>
      </c>
      <c r="C160">
        <v>143278.31</v>
      </c>
      <c r="D160" s="1">
        <v>43589</v>
      </c>
      <c r="E160" t="s">
        <v>11</v>
      </c>
      <c r="F160" t="s">
        <v>106</v>
      </c>
      <c r="G160" t="s">
        <v>145</v>
      </c>
      <c r="H160" t="s">
        <v>146</v>
      </c>
      <c r="I160" t="s">
        <v>27</v>
      </c>
      <c r="J160" t="s">
        <v>297</v>
      </c>
    </row>
    <row r="161" spans="1:10" x14ac:dyDescent="0.3">
      <c r="A161" t="s">
        <v>169</v>
      </c>
      <c r="B161">
        <v>47516.54</v>
      </c>
      <c r="C161">
        <v>38987.32</v>
      </c>
      <c r="D161" s="1">
        <v>44075</v>
      </c>
      <c r="E161" t="s">
        <v>91</v>
      </c>
      <c r="F161" t="s">
        <v>56</v>
      </c>
      <c r="G161" t="s">
        <v>171</v>
      </c>
      <c r="H161" t="s">
        <v>298</v>
      </c>
      <c r="I161" t="s">
        <v>27</v>
      </c>
      <c r="J161" t="s">
        <v>299</v>
      </c>
    </row>
    <row r="162" spans="1:10" x14ac:dyDescent="0.3">
      <c r="A162" t="s">
        <v>66</v>
      </c>
      <c r="B162">
        <v>61374.06</v>
      </c>
      <c r="C162">
        <v>49099.25</v>
      </c>
      <c r="D162" s="1">
        <v>43881</v>
      </c>
      <c r="E162" t="s">
        <v>11</v>
      </c>
      <c r="F162" t="s">
        <v>300</v>
      </c>
      <c r="G162" t="s">
        <v>68</v>
      </c>
      <c r="H162" t="s">
        <v>69</v>
      </c>
      <c r="I162" t="s">
        <v>27</v>
      </c>
      <c r="J162" t="s">
        <v>301</v>
      </c>
    </row>
    <row r="163" spans="1:10" x14ac:dyDescent="0.3">
      <c r="A163" t="s">
        <v>22</v>
      </c>
      <c r="B163">
        <v>83904.320000000007</v>
      </c>
      <c r="C163">
        <v>69011.3</v>
      </c>
      <c r="D163" s="1">
        <v>44018</v>
      </c>
      <c r="E163" t="s">
        <v>11</v>
      </c>
      <c r="F163" t="s">
        <v>302</v>
      </c>
      <c r="G163" t="s">
        <v>25</v>
      </c>
      <c r="H163" t="s">
        <v>26</v>
      </c>
      <c r="I163" t="s">
        <v>27</v>
      </c>
      <c r="J163" t="s">
        <v>303</v>
      </c>
    </row>
    <row r="164" spans="1:10" x14ac:dyDescent="0.3">
      <c r="A164" t="s">
        <v>22</v>
      </c>
      <c r="B164">
        <v>120152.33</v>
      </c>
      <c r="C164">
        <v>97527.65</v>
      </c>
      <c r="D164" s="1">
        <v>43737</v>
      </c>
      <c r="E164" t="s">
        <v>181</v>
      </c>
      <c r="F164" t="s">
        <v>45</v>
      </c>
      <c r="G164" t="s">
        <v>25</v>
      </c>
      <c r="H164" t="s">
        <v>167</v>
      </c>
      <c r="I164" t="s">
        <v>27</v>
      </c>
      <c r="J164" t="s">
        <v>304</v>
      </c>
    </row>
    <row r="165" spans="1:10" x14ac:dyDescent="0.3">
      <c r="A165" t="s">
        <v>216</v>
      </c>
      <c r="B165">
        <v>60917.85</v>
      </c>
      <c r="C165">
        <v>52736.58</v>
      </c>
      <c r="D165" s="1">
        <v>43513</v>
      </c>
      <c r="E165" t="s">
        <v>51</v>
      </c>
      <c r="F165" t="s">
        <v>195</v>
      </c>
      <c r="G165" t="s">
        <v>217</v>
      </c>
      <c r="H165" t="s">
        <v>218</v>
      </c>
      <c r="I165" t="s">
        <v>27</v>
      </c>
      <c r="J165" t="s">
        <v>305</v>
      </c>
    </row>
    <row r="166" spans="1:10" x14ac:dyDescent="0.3">
      <c r="A166" t="s">
        <v>10</v>
      </c>
      <c r="B166">
        <v>170457.8</v>
      </c>
      <c r="C166">
        <v>142809.54</v>
      </c>
      <c r="D166" s="1">
        <v>44057</v>
      </c>
      <c r="E166" t="s">
        <v>55</v>
      </c>
      <c r="F166" t="s">
        <v>86</v>
      </c>
      <c r="G166" t="s">
        <v>13</v>
      </c>
      <c r="H166" t="s">
        <v>81</v>
      </c>
      <c r="I166" t="s">
        <v>27</v>
      </c>
      <c r="J166" t="s">
        <v>306</v>
      </c>
    </row>
    <row r="167" spans="1:10" x14ac:dyDescent="0.3">
      <c r="A167" t="s">
        <v>151</v>
      </c>
      <c r="B167">
        <v>88684.7</v>
      </c>
      <c r="C167">
        <v>75337.649999999994</v>
      </c>
      <c r="D167" s="1">
        <v>43853</v>
      </c>
      <c r="E167" t="s">
        <v>99</v>
      </c>
      <c r="F167" t="s">
        <v>227</v>
      </c>
      <c r="G167" t="s">
        <v>152</v>
      </c>
      <c r="H167" t="s">
        <v>153</v>
      </c>
      <c r="I167" t="s">
        <v>27</v>
      </c>
      <c r="J167" t="s">
        <v>307</v>
      </c>
    </row>
    <row r="168" spans="1:10" x14ac:dyDescent="0.3">
      <c r="A168" t="s">
        <v>143</v>
      </c>
      <c r="B168">
        <v>120012.56</v>
      </c>
      <c r="C168">
        <v>97762.23</v>
      </c>
      <c r="D168" s="1">
        <v>44140</v>
      </c>
      <c r="E168" t="s">
        <v>11</v>
      </c>
      <c r="F168" t="s">
        <v>308</v>
      </c>
      <c r="G168" t="s">
        <v>145</v>
      </c>
      <c r="H168" t="s">
        <v>206</v>
      </c>
      <c r="I168" t="s">
        <v>32</v>
      </c>
      <c r="J168" t="s">
        <v>309</v>
      </c>
    </row>
    <row r="169" spans="1:10" x14ac:dyDescent="0.3">
      <c r="A169" t="s">
        <v>17</v>
      </c>
      <c r="B169">
        <v>118027.37</v>
      </c>
      <c r="C169">
        <v>96050.67</v>
      </c>
      <c r="D169" s="1">
        <v>43620</v>
      </c>
      <c r="E169" t="s">
        <v>76</v>
      </c>
      <c r="F169" t="s">
        <v>56</v>
      </c>
      <c r="G169" t="s">
        <v>19</v>
      </c>
      <c r="H169" t="s">
        <v>157</v>
      </c>
      <c r="I169" t="s">
        <v>27</v>
      </c>
      <c r="J169" t="s">
        <v>310</v>
      </c>
    </row>
    <row r="170" spans="1:10" x14ac:dyDescent="0.3">
      <c r="A170" t="s">
        <v>34</v>
      </c>
      <c r="B170">
        <v>141552.4</v>
      </c>
      <c r="C170">
        <v>122994.88</v>
      </c>
      <c r="D170" s="1">
        <v>43725</v>
      </c>
      <c r="E170" t="s">
        <v>76</v>
      </c>
      <c r="F170" t="s">
        <v>92</v>
      </c>
      <c r="G170" t="s">
        <v>36</v>
      </c>
      <c r="H170" t="s">
        <v>104</v>
      </c>
      <c r="I170" t="s">
        <v>27</v>
      </c>
      <c r="J170" t="s">
        <v>311</v>
      </c>
    </row>
    <row r="171" spans="1:10" x14ac:dyDescent="0.3">
      <c r="A171" t="s">
        <v>10</v>
      </c>
      <c r="B171">
        <v>67161.990000000005</v>
      </c>
      <c r="C171">
        <v>55764.6</v>
      </c>
      <c r="D171" s="1">
        <v>43728</v>
      </c>
      <c r="E171" t="s">
        <v>29</v>
      </c>
      <c r="F171" t="s">
        <v>312</v>
      </c>
      <c r="G171" t="s">
        <v>13</v>
      </c>
      <c r="H171" t="s">
        <v>14</v>
      </c>
      <c r="I171" t="s">
        <v>27</v>
      </c>
      <c r="J171" t="s">
        <v>313</v>
      </c>
    </row>
    <row r="172" spans="1:10" x14ac:dyDescent="0.3">
      <c r="A172" t="s">
        <v>54</v>
      </c>
      <c r="B172">
        <v>250483.63</v>
      </c>
      <c r="C172">
        <v>217269.5</v>
      </c>
      <c r="D172" s="1">
        <v>43897</v>
      </c>
      <c r="E172" t="s">
        <v>55</v>
      </c>
      <c r="F172" t="s">
        <v>314</v>
      </c>
      <c r="G172" t="s">
        <v>57</v>
      </c>
      <c r="H172" t="s">
        <v>58</v>
      </c>
      <c r="I172" t="s">
        <v>32</v>
      </c>
      <c r="J172" t="s">
        <v>315</v>
      </c>
    </row>
    <row r="173" spans="1:10" x14ac:dyDescent="0.3">
      <c r="A173" t="s">
        <v>17</v>
      </c>
      <c r="B173">
        <v>26103.94</v>
      </c>
      <c r="C173">
        <v>22339.75</v>
      </c>
      <c r="D173" s="1">
        <v>44074</v>
      </c>
      <c r="E173" t="s">
        <v>23</v>
      </c>
      <c r="F173" t="s">
        <v>62</v>
      </c>
      <c r="G173" t="s">
        <v>19</v>
      </c>
      <c r="H173" t="s">
        <v>157</v>
      </c>
      <c r="I173" t="s">
        <v>15</v>
      </c>
      <c r="J173" t="s">
        <v>316</v>
      </c>
    </row>
    <row r="174" spans="1:10" x14ac:dyDescent="0.3">
      <c r="A174" t="s">
        <v>10</v>
      </c>
      <c r="B174">
        <v>98322.98</v>
      </c>
      <c r="C174">
        <v>84872.4</v>
      </c>
      <c r="D174" s="1">
        <v>44084</v>
      </c>
      <c r="E174" t="s">
        <v>40</v>
      </c>
      <c r="F174" t="s">
        <v>106</v>
      </c>
      <c r="G174" t="s">
        <v>13</v>
      </c>
      <c r="H174" t="s">
        <v>14</v>
      </c>
      <c r="I174" t="s">
        <v>27</v>
      </c>
      <c r="J174" t="s">
        <v>317</v>
      </c>
    </row>
    <row r="175" spans="1:10" x14ac:dyDescent="0.3">
      <c r="A175" t="s">
        <v>22</v>
      </c>
      <c r="B175">
        <v>104391.93</v>
      </c>
      <c r="C175">
        <v>86770.57</v>
      </c>
      <c r="D175" s="1">
        <v>43922</v>
      </c>
      <c r="E175" t="s">
        <v>76</v>
      </c>
      <c r="F175" t="s">
        <v>300</v>
      </c>
      <c r="G175" t="s">
        <v>25</v>
      </c>
      <c r="H175" t="s">
        <v>87</v>
      </c>
      <c r="I175" t="s">
        <v>27</v>
      </c>
      <c r="J175" t="s">
        <v>318</v>
      </c>
    </row>
    <row r="176" spans="1:10" x14ac:dyDescent="0.3">
      <c r="A176" t="s">
        <v>17</v>
      </c>
      <c r="B176">
        <v>91540.03</v>
      </c>
      <c r="C176">
        <v>74916.36</v>
      </c>
      <c r="D176" s="1">
        <v>43717</v>
      </c>
      <c r="E176" t="s">
        <v>40</v>
      </c>
      <c r="F176" t="s">
        <v>80</v>
      </c>
      <c r="G176" t="s">
        <v>19</v>
      </c>
      <c r="H176" t="s">
        <v>157</v>
      </c>
      <c r="I176" t="s">
        <v>27</v>
      </c>
      <c r="J176" t="s">
        <v>319</v>
      </c>
    </row>
    <row r="177" spans="1:10" x14ac:dyDescent="0.3">
      <c r="A177" t="s">
        <v>22</v>
      </c>
      <c r="B177">
        <v>78057.960000000006</v>
      </c>
      <c r="C177">
        <v>67161.070000000007</v>
      </c>
      <c r="D177" s="1">
        <v>44164</v>
      </c>
      <c r="E177" t="s">
        <v>76</v>
      </c>
      <c r="F177" t="s">
        <v>135</v>
      </c>
      <c r="G177" t="s">
        <v>25</v>
      </c>
      <c r="H177" t="s">
        <v>63</v>
      </c>
      <c r="I177" t="s">
        <v>15</v>
      </c>
      <c r="J177" t="s">
        <v>320</v>
      </c>
    </row>
    <row r="178" spans="1:10" x14ac:dyDescent="0.3">
      <c r="A178" t="s">
        <v>216</v>
      </c>
      <c r="B178">
        <v>77896.83</v>
      </c>
      <c r="C178">
        <v>62714.74</v>
      </c>
      <c r="D178" s="1">
        <v>43903</v>
      </c>
      <c r="E178" t="s">
        <v>40</v>
      </c>
      <c r="F178" t="s">
        <v>174</v>
      </c>
      <c r="G178" t="s">
        <v>217</v>
      </c>
      <c r="H178" t="s">
        <v>218</v>
      </c>
      <c r="I178" t="s">
        <v>27</v>
      </c>
      <c r="J178" t="s">
        <v>321</v>
      </c>
    </row>
    <row r="179" spans="1:10" x14ac:dyDescent="0.3">
      <c r="A179" t="s">
        <v>22</v>
      </c>
      <c r="B179">
        <v>141796.75</v>
      </c>
      <c r="C179">
        <v>112317.21</v>
      </c>
      <c r="D179" s="1">
        <v>44090</v>
      </c>
      <c r="E179" t="s">
        <v>11</v>
      </c>
      <c r="F179" t="s">
        <v>56</v>
      </c>
      <c r="G179" t="s">
        <v>25</v>
      </c>
      <c r="H179" t="s">
        <v>26</v>
      </c>
      <c r="I179" t="s">
        <v>27</v>
      </c>
      <c r="J179" t="s">
        <v>322</v>
      </c>
    </row>
    <row r="180" spans="1:10" x14ac:dyDescent="0.3">
      <c r="A180" t="s">
        <v>22</v>
      </c>
      <c r="B180">
        <v>201537.12</v>
      </c>
      <c r="C180">
        <v>166127.04999999999</v>
      </c>
      <c r="D180" s="1">
        <v>44110</v>
      </c>
      <c r="E180" t="s">
        <v>181</v>
      </c>
      <c r="F180" t="s">
        <v>48</v>
      </c>
      <c r="G180" t="s">
        <v>25</v>
      </c>
      <c r="H180" t="s">
        <v>87</v>
      </c>
      <c r="I180" t="s">
        <v>27</v>
      </c>
      <c r="J180" t="s">
        <v>323</v>
      </c>
    </row>
    <row r="181" spans="1:10" x14ac:dyDescent="0.3">
      <c r="A181" t="s">
        <v>34</v>
      </c>
      <c r="B181">
        <v>125099.05</v>
      </c>
      <c r="C181">
        <v>108473.39</v>
      </c>
      <c r="D181" s="1">
        <v>43954</v>
      </c>
      <c r="E181" t="s">
        <v>91</v>
      </c>
      <c r="F181" t="s">
        <v>174</v>
      </c>
      <c r="G181" t="s">
        <v>36</v>
      </c>
      <c r="H181" t="s">
        <v>37</v>
      </c>
      <c r="I181" t="s">
        <v>27</v>
      </c>
      <c r="J181" t="s">
        <v>324</v>
      </c>
    </row>
    <row r="182" spans="1:10" x14ac:dyDescent="0.3">
      <c r="A182" t="s">
        <v>66</v>
      </c>
      <c r="B182">
        <v>26490.47</v>
      </c>
      <c r="C182">
        <v>21168.53</v>
      </c>
      <c r="D182" s="1">
        <v>43566</v>
      </c>
      <c r="E182" t="s">
        <v>23</v>
      </c>
      <c r="F182" t="s">
        <v>106</v>
      </c>
      <c r="G182" t="s">
        <v>68</v>
      </c>
      <c r="H182" t="s">
        <v>69</v>
      </c>
      <c r="I182" t="s">
        <v>27</v>
      </c>
      <c r="J182" t="s">
        <v>325</v>
      </c>
    </row>
    <row r="183" spans="1:10" x14ac:dyDescent="0.3">
      <c r="A183" t="s">
        <v>66</v>
      </c>
      <c r="B183">
        <v>160185.99</v>
      </c>
      <c r="C183">
        <v>130487.51</v>
      </c>
      <c r="D183" s="1">
        <v>44101</v>
      </c>
      <c r="E183" t="s">
        <v>55</v>
      </c>
      <c r="F183" t="s">
        <v>109</v>
      </c>
      <c r="G183" t="s">
        <v>68</v>
      </c>
      <c r="H183" t="s">
        <v>69</v>
      </c>
      <c r="I183" t="s">
        <v>27</v>
      </c>
      <c r="J183" t="s">
        <v>326</v>
      </c>
    </row>
    <row r="184" spans="1:10" x14ac:dyDescent="0.3">
      <c r="A184" t="s">
        <v>22</v>
      </c>
      <c r="B184">
        <v>87459.79</v>
      </c>
      <c r="C184">
        <v>69967.83</v>
      </c>
      <c r="D184" s="1">
        <v>44151</v>
      </c>
      <c r="E184" t="s">
        <v>76</v>
      </c>
      <c r="F184" t="s">
        <v>164</v>
      </c>
      <c r="G184" t="s">
        <v>25</v>
      </c>
      <c r="H184" t="s">
        <v>87</v>
      </c>
      <c r="I184" t="s">
        <v>32</v>
      </c>
      <c r="J184" t="s">
        <v>327</v>
      </c>
    </row>
    <row r="185" spans="1:10" x14ac:dyDescent="0.3">
      <c r="A185" t="s">
        <v>17</v>
      </c>
      <c r="B185">
        <v>29443.71</v>
      </c>
      <c r="C185">
        <v>23958.35</v>
      </c>
      <c r="D185" s="1">
        <v>44133</v>
      </c>
      <c r="E185" t="s">
        <v>23</v>
      </c>
      <c r="F185" t="s">
        <v>56</v>
      </c>
      <c r="G185" t="s">
        <v>19</v>
      </c>
      <c r="H185" t="s">
        <v>157</v>
      </c>
      <c r="I185" t="s">
        <v>27</v>
      </c>
      <c r="J185" t="s">
        <v>328</v>
      </c>
    </row>
    <row r="186" spans="1:10" x14ac:dyDescent="0.3">
      <c r="A186" t="s">
        <v>22</v>
      </c>
      <c r="B186">
        <v>151151.76999999999</v>
      </c>
      <c r="C186">
        <v>124035.14</v>
      </c>
      <c r="D186" s="1">
        <v>43829</v>
      </c>
      <c r="E186" t="s">
        <v>23</v>
      </c>
      <c r="F186" t="s">
        <v>149</v>
      </c>
      <c r="G186" t="s">
        <v>25</v>
      </c>
      <c r="H186" t="s">
        <v>52</v>
      </c>
      <c r="I186" t="s">
        <v>27</v>
      </c>
      <c r="J186" t="s">
        <v>329</v>
      </c>
    </row>
    <row r="187" spans="1:10" x14ac:dyDescent="0.3">
      <c r="A187" t="s">
        <v>17</v>
      </c>
      <c r="B187">
        <v>155044.01999999999</v>
      </c>
      <c r="C187">
        <v>134268.12</v>
      </c>
      <c r="D187" s="1">
        <v>43763</v>
      </c>
      <c r="E187" t="s">
        <v>76</v>
      </c>
      <c r="F187" t="s">
        <v>236</v>
      </c>
      <c r="G187" t="s">
        <v>19</v>
      </c>
      <c r="H187" t="s">
        <v>20</v>
      </c>
      <c r="I187" t="s">
        <v>27</v>
      </c>
      <c r="J187" t="s">
        <v>330</v>
      </c>
    </row>
    <row r="188" spans="1:10" x14ac:dyDescent="0.3">
      <c r="A188" t="s">
        <v>10</v>
      </c>
      <c r="B188">
        <v>57227.99</v>
      </c>
      <c r="C188">
        <v>46331.78</v>
      </c>
      <c r="D188" s="1">
        <v>43552</v>
      </c>
      <c r="E188" t="s">
        <v>23</v>
      </c>
      <c r="F188" t="s">
        <v>56</v>
      </c>
      <c r="G188" t="s">
        <v>13</v>
      </c>
      <c r="H188" t="s">
        <v>46</v>
      </c>
      <c r="I188" t="s">
        <v>27</v>
      </c>
      <c r="J188" t="s">
        <v>331</v>
      </c>
    </row>
    <row r="189" spans="1:10" x14ac:dyDescent="0.3">
      <c r="A189" t="s">
        <v>10</v>
      </c>
      <c r="B189">
        <v>249842.77</v>
      </c>
      <c r="C189">
        <v>218737.35</v>
      </c>
      <c r="D189" s="1">
        <v>44081</v>
      </c>
      <c r="E189" t="s">
        <v>91</v>
      </c>
      <c r="F189" t="s">
        <v>106</v>
      </c>
      <c r="G189" t="s">
        <v>13</v>
      </c>
      <c r="H189" t="s">
        <v>46</v>
      </c>
      <c r="I189" t="s">
        <v>27</v>
      </c>
      <c r="J189" t="s">
        <v>332</v>
      </c>
    </row>
    <row r="190" spans="1:10" x14ac:dyDescent="0.3">
      <c r="A190" t="s">
        <v>39</v>
      </c>
      <c r="B190">
        <v>109390.57</v>
      </c>
      <c r="C190">
        <v>87414</v>
      </c>
      <c r="D190" s="1">
        <v>44176</v>
      </c>
      <c r="E190" t="s">
        <v>99</v>
      </c>
      <c r="F190" t="s">
        <v>35</v>
      </c>
      <c r="G190" t="s">
        <v>42</v>
      </c>
      <c r="H190" t="s">
        <v>43</v>
      </c>
      <c r="I190" t="s">
        <v>32</v>
      </c>
      <c r="J190" t="s">
        <v>333</v>
      </c>
    </row>
    <row r="191" spans="1:10" x14ac:dyDescent="0.3">
      <c r="A191" t="s">
        <v>10</v>
      </c>
      <c r="B191">
        <v>120763.23</v>
      </c>
      <c r="C191">
        <v>96719.27</v>
      </c>
      <c r="D191" s="1">
        <v>43935</v>
      </c>
      <c r="E191" t="s">
        <v>40</v>
      </c>
      <c r="F191" t="s">
        <v>300</v>
      </c>
      <c r="G191" t="s">
        <v>13</v>
      </c>
      <c r="H191" t="s">
        <v>81</v>
      </c>
      <c r="I191" t="s">
        <v>27</v>
      </c>
      <c r="J191" t="s">
        <v>334</v>
      </c>
    </row>
    <row r="192" spans="1:10" x14ac:dyDescent="0.3">
      <c r="A192" t="s">
        <v>129</v>
      </c>
      <c r="B192">
        <v>177464.83</v>
      </c>
      <c r="C192">
        <v>142717.22</v>
      </c>
      <c r="D192" s="1">
        <v>43855</v>
      </c>
      <c r="E192" t="s">
        <v>181</v>
      </c>
      <c r="F192" t="s">
        <v>335</v>
      </c>
      <c r="G192" t="s">
        <v>130</v>
      </c>
      <c r="H192" t="s">
        <v>131</v>
      </c>
      <c r="I192" t="s">
        <v>27</v>
      </c>
      <c r="J192" t="s">
        <v>336</v>
      </c>
    </row>
    <row r="193" spans="1:10" x14ac:dyDescent="0.3">
      <c r="A193" t="s">
        <v>10</v>
      </c>
      <c r="B193">
        <v>251587.20000000001</v>
      </c>
      <c r="C193">
        <v>201848.41</v>
      </c>
      <c r="D193" s="1">
        <v>43630</v>
      </c>
      <c r="E193" t="s">
        <v>51</v>
      </c>
      <c r="F193" t="s">
        <v>156</v>
      </c>
      <c r="G193" t="s">
        <v>13</v>
      </c>
      <c r="H193" t="s">
        <v>46</v>
      </c>
      <c r="I193" t="s">
        <v>32</v>
      </c>
      <c r="J193" t="s">
        <v>337</v>
      </c>
    </row>
    <row r="194" spans="1:10" x14ac:dyDescent="0.3">
      <c r="A194" t="s">
        <v>216</v>
      </c>
      <c r="B194">
        <v>62567.58</v>
      </c>
      <c r="C194">
        <v>49916.42</v>
      </c>
      <c r="D194" s="1">
        <v>43576</v>
      </c>
      <c r="E194" t="s">
        <v>40</v>
      </c>
      <c r="F194" t="s">
        <v>106</v>
      </c>
      <c r="G194" t="s">
        <v>217</v>
      </c>
      <c r="H194" t="s">
        <v>218</v>
      </c>
      <c r="I194" t="s">
        <v>27</v>
      </c>
      <c r="J194" t="s">
        <v>338</v>
      </c>
    </row>
    <row r="195" spans="1:10" x14ac:dyDescent="0.3">
      <c r="A195" t="s">
        <v>17</v>
      </c>
      <c r="B195">
        <v>234340.31</v>
      </c>
      <c r="C195">
        <v>204438.49</v>
      </c>
      <c r="D195" s="1">
        <v>44178</v>
      </c>
      <c r="E195" t="s">
        <v>40</v>
      </c>
      <c r="F195" t="s">
        <v>106</v>
      </c>
      <c r="G195" t="s">
        <v>19</v>
      </c>
      <c r="H195" t="s">
        <v>49</v>
      </c>
      <c r="I195" t="s">
        <v>27</v>
      </c>
      <c r="J195" t="s">
        <v>339</v>
      </c>
    </row>
    <row r="196" spans="1:10" x14ac:dyDescent="0.3">
      <c r="A196" t="s">
        <v>10</v>
      </c>
      <c r="B196">
        <v>148243.04999999999</v>
      </c>
      <c r="C196">
        <v>120566.07</v>
      </c>
      <c r="D196" s="1">
        <v>44024</v>
      </c>
      <c r="E196" t="s">
        <v>76</v>
      </c>
      <c r="F196" t="s">
        <v>56</v>
      </c>
      <c r="G196" t="s">
        <v>13</v>
      </c>
      <c r="H196" t="s">
        <v>72</v>
      </c>
      <c r="I196" t="s">
        <v>27</v>
      </c>
      <c r="J196" t="s">
        <v>340</v>
      </c>
    </row>
    <row r="197" spans="1:10" x14ac:dyDescent="0.3">
      <c r="A197" t="s">
        <v>10</v>
      </c>
      <c r="B197">
        <v>90602.07</v>
      </c>
      <c r="C197">
        <v>71630</v>
      </c>
      <c r="D197" s="1">
        <v>43954</v>
      </c>
      <c r="E197" t="s">
        <v>29</v>
      </c>
      <c r="F197" t="s">
        <v>139</v>
      </c>
      <c r="G197" t="s">
        <v>13</v>
      </c>
      <c r="H197" t="s">
        <v>14</v>
      </c>
      <c r="I197" t="s">
        <v>27</v>
      </c>
      <c r="J197" t="s">
        <v>341</v>
      </c>
    </row>
    <row r="198" spans="1:10" x14ac:dyDescent="0.3">
      <c r="A198" t="s">
        <v>10</v>
      </c>
      <c r="B198">
        <v>36181.81</v>
      </c>
      <c r="C198">
        <v>29698.03</v>
      </c>
      <c r="D198" s="1">
        <v>44131</v>
      </c>
      <c r="E198" t="s">
        <v>23</v>
      </c>
      <c r="F198" t="s">
        <v>97</v>
      </c>
      <c r="G198" t="s">
        <v>13</v>
      </c>
      <c r="H198" t="s">
        <v>72</v>
      </c>
      <c r="I198" t="s">
        <v>15</v>
      </c>
      <c r="J198" t="s">
        <v>342</v>
      </c>
    </row>
    <row r="199" spans="1:10" x14ac:dyDescent="0.3">
      <c r="A199" t="s">
        <v>10</v>
      </c>
      <c r="B199">
        <v>81262.34</v>
      </c>
      <c r="C199">
        <v>65326.8</v>
      </c>
      <c r="D199" s="1">
        <v>43625</v>
      </c>
      <c r="E199" t="s">
        <v>91</v>
      </c>
      <c r="F199" t="s">
        <v>56</v>
      </c>
      <c r="G199" t="s">
        <v>13</v>
      </c>
      <c r="H199" t="s">
        <v>81</v>
      </c>
      <c r="I199" t="s">
        <v>32</v>
      </c>
      <c r="J199" t="s">
        <v>343</v>
      </c>
    </row>
    <row r="200" spans="1:10" x14ac:dyDescent="0.3">
      <c r="A200" t="s">
        <v>22</v>
      </c>
      <c r="B200">
        <v>121736.23</v>
      </c>
      <c r="C200">
        <v>106214.86</v>
      </c>
      <c r="D200" s="1">
        <v>43987</v>
      </c>
      <c r="E200" t="s">
        <v>55</v>
      </c>
      <c r="F200" t="s">
        <v>109</v>
      </c>
      <c r="G200" t="s">
        <v>25</v>
      </c>
      <c r="H200" t="s">
        <v>167</v>
      </c>
      <c r="I200" t="s">
        <v>27</v>
      </c>
      <c r="J200" t="s">
        <v>344</v>
      </c>
    </row>
    <row r="201" spans="1:10" x14ac:dyDescent="0.3">
      <c r="A201" t="s">
        <v>10</v>
      </c>
      <c r="B201">
        <v>131839.16</v>
      </c>
      <c r="C201">
        <v>115372.45</v>
      </c>
      <c r="D201" s="1">
        <v>43948</v>
      </c>
      <c r="E201" t="s">
        <v>91</v>
      </c>
      <c r="F201" t="s">
        <v>211</v>
      </c>
      <c r="G201" t="s">
        <v>13</v>
      </c>
      <c r="H201" t="s">
        <v>72</v>
      </c>
      <c r="I201" t="s">
        <v>27</v>
      </c>
      <c r="J201" t="s">
        <v>345</v>
      </c>
    </row>
    <row r="202" spans="1:10" x14ac:dyDescent="0.3">
      <c r="A202" t="s">
        <v>66</v>
      </c>
      <c r="B202">
        <v>47182.43</v>
      </c>
      <c r="C202">
        <v>40576.89</v>
      </c>
      <c r="D202" s="1">
        <v>43882</v>
      </c>
      <c r="E202" t="s">
        <v>51</v>
      </c>
      <c r="F202" t="s">
        <v>30</v>
      </c>
      <c r="G202" t="s">
        <v>68</v>
      </c>
      <c r="H202" t="s">
        <v>69</v>
      </c>
      <c r="I202" t="s">
        <v>27</v>
      </c>
      <c r="J202" t="s">
        <v>346</v>
      </c>
    </row>
    <row r="203" spans="1:10" x14ac:dyDescent="0.3">
      <c r="A203" t="s">
        <v>22</v>
      </c>
      <c r="B203">
        <v>36321.68</v>
      </c>
      <c r="C203">
        <v>31581.7</v>
      </c>
      <c r="D203" s="1">
        <v>44133</v>
      </c>
      <c r="E203" t="s">
        <v>91</v>
      </c>
      <c r="F203" t="s">
        <v>30</v>
      </c>
      <c r="G203" t="s">
        <v>25</v>
      </c>
      <c r="H203" t="s">
        <v>167</v>
      </c>
      <c r="I203" t="s">
        <v>27</v>
      </c>
      <c r="J203" t="s">
        <v>347</v>
      </c>
    </row>
    <row r="204" spans="1:10" x14ac:dyDescent="0.3">
      <c r="A204" t="s">
        <v>10</v>
      </c>
      <c r="B204">
        <v>82116.31</v>
      </c>
      <c r="C204">
        <v>70652.87</v>
      </c>
      <c r="D204" s="1">
        <v>43981</v>
      </c>
      <c r="E204" t="s">
        <v>76</v>
      </c>
      <c r="F204" t="s">
        <v>109</v>
      </c>
      <c r="G204" t="s">
        <v>13</v>
      </c>
      <c r="H204" t="s">
        <v>110</v>
      </c>
      <c r="I204" t="s">
        <v>15</v>
      </c>
      <c r="J204" t="s">
        <v>348</v>
      </c>
    </row>
    <row r="205" spans="1:10" x14ac:dyDescent="0.3">
      <c r="A205" t="s">
        <v>22</v>
      </c>
      <c r="B205">
        <v>77087.839999999997</v>
      </c>
      <c r="C205">
        <v>65894.69</v>
      </c>
      <c r="D205" s="1">
        <v>43968</v>
      </c>
      <c r="E205" t="s">
        <v>99</v>
      </c>
      <c r="F205" t="s">
        <v>149</v>
      </c>
      <c r="G205" t="s">
        <v>25</v>
      </c>
      <c r="H205" t="s">
        <v>52</v>
      </c>
      <c r="I205" t="s">
        <v>27</v>
      </c>
      <c r="J205" t="s">
        <v>349</v>
      </c>
    </row>
    <row r="206" spans="1:10" x14ac:dyDescent="0.3">
      <c r="A206" t="s">
        <v>10</v>
      </c>
      <c r="B206">
        <v>94115.99</v>
      </c>
      <c r="C206">
        <v>75669.259999999995</v>
      </c>
      <c r="D206" s="1">
        <v>43724</v>
      </c>
      <c r="E206" t="s">
        <v>23</v>
      </c>
      <c r="F206" t="s">
        <v>135</v>
      </c>
      <c r="G206" t="s">
        <v>13</v>
      </c>
      <c r="H206" t="s">
        <v>14</v>
      </c>
      <c r="I206" t="s">
        <v>27</v>
      </c>
      <c r="J206" t="s">
        <v>350</v>
      </c>
    </row>
    <row r="207" spans="1:10" x14ac:dyDescent="0.3">
      <c r="A207" t="s">
        <v>34</v>
      </c>
      <c r="B207">
        <v>60301.96</v>
      </c>
      <c r="C207">
        <v>48820.47</v>
      </c>
      <c r="D207" s="1">
        <v>43679</v>
      </c>
      <c r="E207" t="s">
        <v>76</v>
      </c>
      <c r="F207" t="s">
        <v>89</v>
      </c>
      <c r="G207" t="s">
        <v>36</v>
      </c>
      <c r="H207" t="s">
        <v>93</v>
      </c>
      <c r="I207" t="s">
        <v>27</v>
      </c>
      <c r="J207" t="s">
        <v>351</v>
      </c>
    </row>
    <row r="208" spans="1:10" x14ac:dyDescent="0.3">
      <c r="A208" t="s">
        <v>22</v>
      </c>
      <c r="B208">
        <v>66146.570000000007</v>
      </c>
      <c r="C208">
        <v>56145.21</v>
      </c>
      <c r="D208" s="1">
        <v>44016</v>
      </c>
      <c r="E208" t="s">
        <v>29</v>
      </c>
      <c r="F208" t="s">
        <v>106</v>
      </c>
      <c r="G208" t="s">
        <v>25</v>
      </c>
      <c r="H208" t="s">
        <v>87</v>
      </c>
      <c r="I208" t="s">
        <v>27</v>
      </c>
      <c r="J208" t="s">
        <v>352</v>
      </c>
    </row>
    <row r="209" spans="1:10" x14ac:dyDescent="0.3">
      <c r="A209" t="s">
        <v>22</v>
      </c>
      <c r="B209">
        <v>134120.38</v>
      </c>
      <c r="C209">
        <v>105981.92</v>
      </c>
      <c r="D209" s="1">
        <v>43951</v>
      </c>
      <c r="E209" t="s">
        <v>11</v>
      </c>
      <c r="F209" t="s">
        <v>139</v>
      </c>
      <c r="G209" t="s">
        <v>25</v>
      </c>
      <c r="H209" t="s">
        <v>87</v>
      </c>
      <c r="I209" t="s">
        <v>27</v>
      </c>
      <c r="J209" t="s">
        <v>353</v>
      </c>
    </row>
    <row r="210" spans="1:10" x14ac:dyDescent="0.3">
      <c r="A210" t="s">
        <v>34</v>
      </c>
      <c r="B210">
        <v>137306.45000000001</v>
      </c>
      <c r="C210">
        <v>108732.98</v>
      </c>
      <c r="D210" s="1">
        <v>43930</v>
      </c>
      <c r="E210" t="s">
        <v>91</v>
      </c>
      <c r="F210" t="s">
        <v>335</v>
      </c>
      <c r="G210" t="s">
        <v>36</v>
      </c>
      <c r="H210" t="s">
        <v>104</v>
      </c>
      <c r="I210" t="s">
        <v>27</v>
      </c>
      <c r="J210" t="s">
        <v>354</v>
      </c>
    </row>
    <row r="211" spans="1:10" x14ac:dyDescent="0.3">
      <c r="A211" t="s">
        <v>10</v>
      </c>
      <c r="B211">
        <v>132632.97</v>
      </c>
      <c r="C211">
        <v>112035.07</v>
      </c>
      <c r="D211" s="1">
        <v>43578</v>
      </c>
      <c r="E211" t="s">
        <v>29</v>
      </c>
      <c r="F211" t="s">
        <v>214</v>
      </c>
      <c r="G211" t="s">
        <v>13</v>
      </c>
      <c r="H211" t="s">
        <v>81</v>
      </c>
      <c r="I211" t="s">
        <v>27</v>
      </c>
      <c r="J211" t="s">
        <v>355</v>
      </c>
    </row>
    <row r="212" spans="1:10" x14ac:dyDescent="0.3">
      <c r="A212" t="s">
        <v>216</v>
      </c>
      <c r="B212">
        <v>73981.77</v>
      </c>
      <c r="C212">
        <v>61959.73</v>
      </c>
      <c r="D212" s="1">
        <v>43787</v>
      </c>
      <c r="E212" t="s">
        <v>40</v>
      </c>
      <c r="F212" t="s">
        <v>71</v>
      </c>
      <c r="G212" t="s">
        <v>217</v>
      </c>
      <c r="H212" t="s">
        <v>218</v>
      </c>
      <c r="I212" t="s">
        <v>27</v>
      </c>
      <c r="J212" t="s">
        <v>356</v>
      </c>
    </row>
    <row r="213" spans="1:10" x14ac:dyDescent="0.3">
      <c r="A213" t="s">
        <v>129</v>
      </c>
      <c r="B213">
        <v>93007.22</v>
      </c>
      <c r="C213">
        <v>81837.05</v>
      </c>
      <c r="D213" s="1">
        <v>44085</v>
      </c>
      <c r="E213" t="s">
        <v>181</v>
      </c>
      <c r="F213" t="s">
        <v>211</v>
      </c>
      <c r="G213" t="s">
        <v>130</v>
      </c>
      <c r="H213" t="s">
        <v>159</v>
      </c>
      <c r="I213" t="s">
        <v>27</v>
      </c>
      <c r="J213" t="s">
        <v>357</v>
      </c>
    </row>
    <row r="214" spans="1:10" x14ac:dyDescent="0.3">
      <c r="A214" t="s">
        <v>122</v>
      </c>
      <c r="B214">
        <v>147672.87</v>
      </c>
      <c r="C214">
        <v>129110.39</v>
      </c>
      <c r="D214" s="1">
        <v>43753</v>
      </c>
      <c r="E214" t="s">
        <v>29</v>
      </c>
      <c r="F214" t="s">
        <v>189</v>
      </c>
      <c r="G214" t="s">
        <v>123</v>
      </c>
      <c r="H214" t="s">
        <v>124</v>
      </c>
      <c r="I214" t="s">
        <v>27</v>
      </c>
      <c r="J214" t="s">
        <v>358</v>
      </c>
    </row>
    <row r="215" spans="1:10" x14ac:dyDescent="0.3">
      <c r="A215" t="s">
        <v>10</v>
      </c>
      <c r="B215">
        <v>53593.86</v>
      </c>
      <c r="C215">
        <v>45629.81</v>
      </c>
      <c r="D215" s="1">
        <v>44172</v>
      </c>
      <c r="E215" t="s">
        <v>29</v>
      </c>
      <c r="F215" t="s">
        <v>74</v>
      </c>
      <c r="G215" t="s">
        <v>13</v>
      </c>
      <c r="H215" t="s">
        <v>110</v>
      </c>
      <c r="I215" t="s">
        <v>27</v>
      </c>
      <c r="J215" t="s">
        <v>359</v>
      </c>
    </row>
    <row r="216" spans="1:10" x14ac:dyDescent="0.3">
      <c r="A216" t="s">
        <v>10</v>
      </c>
      <c r="B216">
        <v>110092.84</v>
      </c>
      <c r="C216">
        <v>92797.25</v>
      </c>
      <c r="D216" s="1">
        <v>44011</v>
      </c>
      <c r="E216" t="s">
        <v>99</v>
      </c>
      <c r="F216" t="s">
        <v>149</v>
      </c>
      <c r="G216" t="s">
        <v>13</v>
      </c>
      <c r="H216" t="s">
        <v>81</v>
      </c>
      <c r="I216" t="s">
        <v>15</v>
      </c>
      <c r="J216" t="s">
        <v>360</v>
      </c>
    </row>
    <row r="217" spans="1:10" x14ac:dyDescent="0.3">
      <c r="A217" t="s">
        <v>10</v>
      </c>
      <c r="B217">
        <v>174380.2</v>
      </c>
      <c r="C217">
        <v>151518.96</v>
      </c>
      <c r="D217" s="1">
        <v>43497</v>
      </c>
      <c r="E217" t="s">
        <v>23</v>
      </c>
      <c r="F217" t="s">
        <v>244</v>
      </c>
      <c r="G217" t="s">
        <v>13</v>
      </c>
      <c r="H217" t="s">
        <v>14</v>
      </c>
      <c r="I217" t="s">
        <v>27</v>
      </c>
      <c r="J217" t="s">
        <v>361</v>
      </c>
    </row>
    <row r="218" spans="1:10" x14ac:dyDescent="0.3">
      <c r="A218" t="s">
        <v>17</v>
      </c>
      <c r="B218">
        <v>55804.05</v>
      </c>
      <c r="C218">
        <v>46401.07</v>
      </c>
      <c r="D218" s="1">
        <v>43588</v>
      </c>
      <c r="E218" t="s">
        <v>29</v>
      </c>
      <c r="F218" t="s">
        <v>149</v>
      </c>
      <c r="G218" t="s">
        <v>19</v>
      </c>
      <c r="H218" t="s">
        <v>31</v>
      </c>
      <c r="I218" t="s">
        <v>27</v>
      </c>
      <c r="J218" t="s">
        <v>362</v>
      </c>
    </row>
    <row r="219" spans="1:10" x14ac:dyDescent="0.3">
      <c r="A219" t="s">
        <v>22</v>
      </c>
      <c r="B219">
        <v>78938.820000000007</v>
      </c>
      <c r="C219">
        <v>65471.86</v>
      </c>
      <c r="D219" s="1">
        <v>43579</v>
      </c>
      <c r="E219" t="s">
        <v>11</v>
      </c>
      <c r="F219" t="s">
        <v>62</v>
      </c>
      <c r="G219" t="s">
        <v>25</v>
      </c>
      <c r="H219" t="s">
        <v>87</v>
      </c>
      <c r="I219" t="s">
        <v>27</v>
      </c>
      <c r="J219" t="s">
        <v>363</v>
      </c>
    </row>
    <row r="220" spans="1:10" x14ac:dyDescent="0.3">
      <c r="A220" t="s">
        <v>10</v>
      </c>
      <c r="B220">
        <v>124593.04</v>
      </c>
      <c r="C220">
        <v>109106.13</v>
      </c>
      <c r="D220" s="1">
        <v>44136</v>
      </c>
      <c r="E220" t="s">
        <v>23</v>
      </c>
      <c r="F220" t="s">
        <v>56</v>
      </c>
      <c r="G220" t="s">
        <v>13</v>
      </c>
      <c r="H220" t="s">
        <v>72</v>
      </c>
      <c r="I220" t="s">
        <v>32</v>
      </c>
      <c r="J220" t="s">
        <v>364</v>
      </c>
    </row>
    <row r="221" spans="1:10" x14ac:dyDescent="0.3">
      <c r="A221" t="s">
        <v>10</v>
      </c>
      <c r="B221">
        <v>126682.79</v>
      </c>
      <c r="C221">
        <v>106514.89</v>
      </c>
      <c r="D221" s="1">
        <v>43775</v>
      </c>
      <c r="E221" t="s">
        <v>51</v>
      </c>
      <c r="F221" t="s">
        <v>300</v>
      </c>
      <c r="G221" t="s">
        <v>13</v>
      </c>
      <c r="H221" t="s">
        <v>72</v>
      </c>
      <c r="I221" t="s">
        <v>27</v>
      </c>
      <c r="J221" t="s">
        <v>365</v>
      </c>
    </row>
    <row r="222" spans="1:10" x14ac:dyDescent="0.3">
      <c r="A222" t="s">
        <v>17</v>
      </c>
      <c r="B222">
        <v>86077.83</v>
      </c>
      <c r="C222">
        <v>72288.160000000003</v>
      </c>
      <c r="D222" s="1">
        <v>43535</v>
      </c>
      <c r="E222" t="s">
        <v>23</v>
      </c>
      <c r="F222" t="s">
        <v>56</v>
      </c>
      <c r="G222" t="s">
        <v>19</v>
      </c>
      <c r="H222" t="s">
        <v>20</v>
      </c>
      <c r="I222" t="s">
        <v>27</v>
      </c>
      <c r="J222" t="s">
        <v>366</v>
      </c>
    </row>
    <row r="223" spans="1:10" x14ac:dyDescent="0.3">
      <c r="A223" t="s">
        <v>143</v>
      </c>
      <c r="B223">
        <v>131409.9</v>
      </c>
      <c r="C223">
        <v>115325.33</v>
      </c>
      <c r="D223" s="1">
        <v>44150</v>
      </c>
      <c r="E223" t="s">
        <v>29</v>
      </c>
      <c r="F223" t="s">
        <v>367</v>
      </c>
      <c r="G223" t="s">
        <v>145</v>
      </c>
      <c r="H223" t="s">
        <v>206</v>
      </c>
      <c r="I223" t="s">
        <v>27</v>
      </c>
      <c r="J223" t="s">
        <v>368</v>
      </c>
    </row>
    <row r="224" spans="1:10" x14ac:dyDescent="0.3">
      <c r="A224" t="s">
        <v>17</v>
      </c>
      <c r="B224">
        <v>123562.02</v>
      </c>
      <c r="C224">
        <v>102927.16</v>
      </c>
      <c r="D224" s="1">
        <v>43943</v>
      </c>
      <c r="E224" t="s">
        <v>40</v>
      </c>
      <c r="F224" t="s">
        <v>139</v>
      </c>
      <c r="G224" t="s">
        <v>19</v>
      </c>
      <c r="H224" t="s">
        <v>20</v>
      </c>
      <c r="I224" t="s">
        <v>27</v>
      </c>
      <c r="J224" t="s">
        <v>369</v>
      </c>
    </row>
    <row r="225" spans="1:10" x14ac:dyDescent="0.3">
      <c r="A225" t="s">
        <v>216</v>
      </c>
      <c r="B225">
        <v>214983.15</v>
      </c>
      <c r="C225">
        <v>180413.86</v>
      </c>
      <c r="D225" s="1">
        <v>43775</v>
      </c>
      <c r="E225" t="s">
        <v>76</v>
      </c>
      <c r="F225" t="s">
        <v>367</v>
      </c>
      <c r="G225" t="s">
        <v>217</v>
      </c>
      <c r="H225" t="s">
        <v>218</v>
      </c>
      <c r="I225" t="s">
        <v>15</v>
      </c>
      <c r="J225" t="s">
        <v>370</v>
      </c>
    </row>
    <row r="226" spans="1:10" x14ac:dyDescent="0.3">
      <c r="A226" t="s">
        <v>129</v>
      </c>
      <c r="B226">
        <v>135629.35999999999</v>
      </c>
      <c r="C226">
        <v>118526.5</v>
      </c>
      <c r="D226" s="1">
        <v>44173</v>
      </c>
      <c r="E226" t="s">
        <v>11</v>
      </c>
      <c r="F226" t="s">
        <v>133</v>
      </c>
      <c r="G226" t="s">
        <v>130</v>
      </c>
      <c r="H226" t="s">
        <v>131</v>
      </c>
      <c r="I226" t="s">
        <v>27</v>
      </c>
      <c r="J226" t="s">
        <v>371</v>
      </c>
    </row>
    <row r="227" spans="1:10" x14ac:dyDescent="0.3">
      <c r="A227" t="s">
        <v>17</v>
      </c>
      <c r="B227">
        <v>38648.720000000001</v>
      </c>
      <c r="C227">
        <v>32368.3</v>
      </c>
      <c r="D227" s="1">
        <v>43933</v>
      </c>
      <c r="E227" t="s">
        <v>76</v>
      </c>
      <c r="F227" t="s">
        <v>227</v>
      </c>
      <c r="G227" t="s">
        <v>19</v>
      </c>
      <c r="H227" t="s">
        <v>31</v>
      </c>
      <c r="I227" t="s">
        <v>15</v>
      </c>
      <c r="J227" t="s">
        <v>372</v>
      </c>
    </row>
    <row r="228" spans="1:10" x14ac:dyDescent="0.3">
      <c r="A228" t="s">
        <v>22</v>
      </c>
      <c r="B228">
        <v>136324.9</v>
      </c>
      <c r="C228">
        <v>110436.8</v>
      </c>
      <c r="D228" s="1">
        <v>43767</v>
      </c>
      <c r="E228" t="s">
        <v>29</v>
      </c>
      <c r="F228" t="s">
        <v>373</v>
      </c>
      <c r="G228" t="s">
        <v>25</v>
      </c>
      <c r="H228" t="s">
        <v>63</v>
      </c>
      <c r="I228" t="s">
        <v>15</v>
      </c>
      <c r="J228" t="s">
        <v>374</v>
      </c>
    </row>
    <row r="229" spans="1:10" x14ac:dyDescent="0.3">
      <c r="A229" t="s">
        <v>10</v>
      </c>
      <c r="B229">
        <v>113586.11</v>
      </c>
      <c r="C229">
        <v>91641.27</v>
      </c>
      <c r="D229" s="1">
        <v>43515</v>
      </c>
      <c r="E229" t="s">
        <v>181</v>
      </c>
      <c r="F229" t="s">
        <v>41</v>
      </c>
      <c r="G229" t="s">
        <v>13</v>
      </c>
      <c r="H229" t="s">
        <v>14</v>
      </c>
      <c r="I229" t="s">
        <v>32</v>
      </c>
      <c r="J229" t="s">
        <v>375</v>
      </c>
    </row>
    <row r="230" spans="1:10" x14ac:dyDescent="0.3">
      <c r="A230" t="s">
        <v>10</v>
      </c>
      <c r="B230">
        <v>67611.539999999994</v>
      </c>
      <c r="C230">
        <v>56191.95</v>
      </c>
      <c r="D230" s="1">
        <v>43768</v>
      </c>
      <c r="E230" t="s">
        <v>40</v>
      </c>
      <c r="F230" t="s">
        <v>80</v>
      </c>
      <c r="G230" t="s">
        <v>13</v>
      </c>
      <c r="H230" t="s">
        <v>110</v>
      </c>
      <c r="I230" t="s">
        <v>27</v>
      </c>
      <c r="J230" t="s">
        <v>376</v>
      </c>
    </row>
    <row r="231" spans="1:10" x14ac:dyDescent="0.3">
      <c r="A231" t="s">
        <v>22</v>
      </c>
      <c r="B231">
        <v>143322.47</v>
      </c>
      <c r="C231">
        <v>114213.68</v>
      </c>
      <c r="D231" s="1">
        <v>43970</v>
      </c>
      <c r="E231" t="s">
        <v>91</v>
      </c>
      <c r="F231" t="s">
        <v>56</v>
      </c>
      <c r="G231" t="s">
        <v>25</v>
      </c>
      <c r="H231" t="s">
        <v>26</v>
      </c>
      <c r="I231" t="s">
        <v>27</v>
      </c>
      <c r="J231" t="s">
        <v>377</v>
      </c>
    </row>
    <row r="232" spans="1:10" x14ac:dyDescent="0.3">
      <c r="A232" t="s">
        <v>10</v>
      </c>
      <c r="B232">
        <v>171748.56</v>
      </c>
      <c r="C232">
        <v>136574.45000000001</v>
      </c>
      <c r="D232" s="1">
        <v>44155</v>
      </c>
      <c r="E232" t="s">
        <v>11</v>
      </c>
      <c r="F232" t="s">
        <v>373</v>
      </c>
      <c r="G232" t="s">
        <v>13</v>
      </c>
      <c r="H232" t="s">
        <v>72</v>
      </c>
      <c r="I232" t="s">
        <v>27</v>
      </c>
      <c r="J232" t="s">
        <v>378</v>
      </c>
    </row>
    <row r="233" spans="1:10" x14ac:dyDescent="0.3">
      <c r="A233" t="s">
        <v>17</v>
      </c>
      <c r="B233">
        <v>50516.2</v>
      </c>
      <c r="C233">
        <v>43918.78</v>
      </c>
      <c r="D233" s="1">
        <v>43546</v>
      </c>
      <c r="E233" t="s">
        <v>29</v>
      </c>
      <c r="F233" t="s">
        <v>89</v>
      </c>
      <c r="G233" t="s">
        <v>19</v>
      </c>
      <c r="H233" t="s">
        <v>78</v>
      </c>
      <c r="I233" t="s">
        <v>27</v>
      </c>
      <c r="J233" t="s">
        <v>379</v>
      </c>
    </row>
    <row r="234" spans="1:10" x14ac:dyDescent="0.3">
      <c r="A234" t="s">
        <v>22</v>
      </c>
      <c r="B234">
        <v>76856.570000000007</v>
      </c>
      <c r="C234">
        <v>65535.6</v>
      </c>
      <c r="D234" s="1">
        <v>43616</v>
      </c>
      <c r="E234" t="s">
        <v>40</v>
      </c>
      <c r="F234" t="s">
        <v>156</v>
      </c>
      <c r="G234" t="s">
        <v>25</v>
      </c>
      <c r="H234" t="s">
        <v>63</v>
      </c>
      <c r="I234" t="s">
        <v>27</v>
      </c>
      <c r="J234" t="s">
        <v>380</v>
      </c>
    </row>
    <row r="235" spans="1:10" x14ac:dyDescent="0.3">
      <c r="A235" t="s">
        <v>129</v>
      </c>
      <c r="B235">
        <v>125280.28</v>
      </c>
      <c r="C235">
        <v>99372.32</v>
      </c>
      <c r="D235" s="1">
        <v>43756</v>
      </c>
      <c r="E235" t="s">
        <v>76</v>
      </c>
      <c r="F235" t="s">
        <v>45</v>
      </c>
      <c r="G235" t="s">
        <v>130</v>
      </c>
      <c r="H235" t="s">
        <v>159</v>
      </c>
      <c r="I235" t="s">
        <v>27</v>
      </c>
      <c r="J235" t="s">
        <v>381</v>
      </c>
    </row>
    <row r="236" spans="1:10" x14ac:dyDescent="0.3">
      <c r="A236" t="s">
        <v>17</v>
      </c>
      <c r="B236">
        <v>184431.48</v>
      </c>
      <c r="C236">
        <v>153059.69</v>
      </c>
      <c r="D236" s="1">
        <v>43658</v>
      </c>
      <c r="E236" t="s">
        <v>91</v>
      </c>
      <c r="F236" t="s">
        <v>56</v>
      </c>
      <c r="G236" t="s">
        <v>19</v>
      </c>
      <c r="H236" t="s">
        <v>157</v>
      </c>
      <c r="I236" t="s">
        <v>32</v>
      </c>
      <c r="J236" t="s">
        <v>382</v>
      </c>
    </row>
    <row r="237" spans="1:10" x14ac:dyDescent="0.3">
      <c r="A237" t="s">
        <v>17</v>
      </c>
      <c r="B237">
        <v>102255.86</v>
      </c>
      <c r="C237">
        <v>83379.429999999993</v>
      </c>
      <c r="D237" s="1">
        <v>44176</v>
      </c>
      <c r="E237" t="s">
        <v>51</v>
      </c>
      <c r="F237" t="s">
        <v>294</v>
      </c>
      <c r="G237" t="s">
        <v>19</v>
      </c>
      <c r="H237" t="s">
        <v>49</v>
      </c>
      <c r="I237" t="s">
        <v>27</v>
      </c>
      <c r="J237" t="s">
        <v>383</v>
      </c>
    </row>
    <row r="238" spans="1:10" x14ac:dyDescent="0.3">
      <c r="A238" t="s">
        <v>17</v>
      </c>
      <c r="B238">
        <v>101318.72</v>
      </c>
      <c r="C238">
        <v>86657.9</v>
      </c>
      <c r="D238" s="1">
        <v>43568</v>
      </c>
      <c r="E238" t="s">
        <v>11</v>
      </c>
      <c r="F238" t="s">
        <v>256</v>
      </c>
      <c r="G238" t="s">
        <v>19</v>
      </c>
      <c r="H238" t="s">
        <v>78</v>
      </c>
      <c r="I238" t="s">
        <v>27</v>
      </c>
      <c r="J238" t="s">
        <v>384</v>
      </c>
    </row>
    <row r="239" spans="1:10" x14ac:dyDescent="0.3">
      <c r="A239" t="s">
        <v>22</v>
      </c>
      <c r="B239">
        <v>83226.45</v>
      </c>
      <c r="C239">
        <v>71699.59</v>
      </c>
      <c r="D239" s="1">
        <v>44157</v>
      </c>
      <c r="E239" t="s">
        <v>76</v>
      </c>
      <c r="F239" t="s">
        <v>135</v>
      </c>
      <c r="G239" t="s">
        <v>25</v>
      </c>
      <c r="H239" t="s">
        <v>26</v>
      </c>
      <c r="I239" t="s">
        <v>27</v>
      </c>
      <c r="J239" t="s">
        <v>385</v>
      </c>
    </row>
    <row r="240" spans="1:10" x14ac:dyDescent="0.3">
      <c r="A240" t="s">
        <v>34</v>
      </c>
      <c r="B240">
        <v>129485.51</v>
      </c>
      <c r="C240">
        <v>112794.83</v>
      </c>
      <c r="D240" s="1">
        <v>43586</v>
      </c>
      <c r="E240" t="s">
        <v>23</v>
      </c>
      <c r="F240" t="s">
        <v>211</v>
      </c>
      <c r="G240" t="s">
        <v>36</v>
      </c>
      <c r="H240" t="s">
        <v>93</v>
      </c>
      <c r="I240" t="s">
        <v>27</v>
      </c>
      <c r="J240" t="s">
        <v>386</v>
      </c>
    </row>
    <row r="241" spans="1:10" x14ac:dyDescent="0.3">
      <c r="A241" t="s">
        <v>17</v>
      </c>
      <c r="B241">
        <v>177802.7</v>
      </c>
      <c r="C241">
        <v>155079.51</v>
      </c>
      <c r="D241" s="1">
        <v>43664</v>
      </c>
      <c r="E241" t="s">
        <v>99</v>
      </c>
      <c r="F241" t="s">
        <v>244</v>
      </c>
      <c r="G241" t="s">
        <v>19</v>
      </c>
      <c r="H241" t="s">
        <v>20</v>
      </c>
      <c r="I241" t="s">
        <v>27</v>
      </c>
      <c r="J241" t="s">
        <v>387</v>
      </c>
    </row>
    <row r="242" spans="1:10" x14ac:dyDescent="0.3">
      <c r="A242" t="s">
        <v>143</v>
      </c>
      <c r="B242">
        <v>44038.31</v>
      </c>
      <c r="C242">
        <v>36252.339999999997</v>
      </c>
      <c r="D242" s="1">
        <v>43854</v>
      </c>
      <c r="E242" t="s">
        <v>29</v>
      </c>
      <c r="F242" t="s">
        <v>229</v>
      </c>
      <c r="G242" t="s">
        <v>145</v>
      </c>
      <c r="H242" t="s">
        <v>262</v>
      </c>
      <c r="I242" t="s">
        <v>27</v>
      </c>
      <c r="J242" t="s">
        <v>388</v>
      </c>
    </row>
    <row r="243" spans="1:10" x14ac:dyDescent="0.3">
      <c r="A243" t="s">
        <v>22</v>
      </c>
      <c r="B243">
        <v>113781.45</v>
      </c>
      <c r="C243">
        <v>91104.81</v>
      </c>
      <c r="D243" s="1">
        <v>43687</v>
      </c>
      <c r="E243" t="s">
        <v>91</v>
      </c>
      <c r="F243" t="s">
        <v>144</v>
      </c>
      <c r="G243" t="s">
        <v>25</v>
      </c>
      <c r="H243" t="s">
        <v>52</v>
      </c>
      <c r="I243" t="s">
        <v>27</v>
      </c>
      <c r="J243" t="s">
        <v>389</v>
      </c>
    </row>
    <row r="244" spans="1:10" x14ac:dyDescent="0.3">
      <c r="A244" t="s">
        <v>66</v>
      </c>
      <c r="B244">
        <v>312928.71999999997</v>
      </c>
      <c r="C244">
        <v>270401.71000000002</v>
      </c>
      <c r="D244" s="1">
        <v>43811</v>
      </c>
      <c r="E244" t="s">
        <v>76</v>
      </c>
      <c r="F244" t="s">
        <v>97</v>
      </c>
      <c r="G244" t="s">
        <v>68</v>
      </c>
      <c r="H244" t="s">
        <v>69</v>
      </c>
      <c r="I244" t="s">
        <v>15</v>
      </c>
      <c r="J244" t="s">
        <v>390</v>
      </c>
    </row>
    <row r="245" spans="1:10" x14ac:dyDescent="0.3">
      <c r="A245" t="s">
        <v>151</v>
      </c>
      <c r="B245">
        <v>65397.279999999999</v>
      </c>
      <c r="C245">
        <v>53920.06</v>
      </c>
      <c r="D245" s="1">
        <v>43910</v>
      </c>
      <c r="E245" t="s">
        <v>181</v>
      </c>
      <c r="F245" t="s">
        <v>233</v>
      </c>
      <c r="G245" t="s">
        <v>152</v>
      </c>
      <c r="H245" t="s">
        <v>197</v>
      </c>
      <c r="I245" t="s">
        <v>32</v>
      </c>
      <c r="J245" t="s">
        <v>391</v>
      </c>
    </row>
    <row r="246" spans="1:10" x14ac:dyDescent="0.3">
      <c r="A246" t="s">
        <v>17</v>
      </c>
      <c r="B246">
        <v>250488.42</v>
      </c>
      <c r="C246">
        <v>214142.55</v>
      </c>
      <c r="D246" s="1">
        <v>43995</v>
      </c>
      <c r="E246" t="s">
        <v>23</v>
      </c>
      <c r="F246" t="s">
        <v>272</v>
      </c>
      <c r="G246" t="s">
        <v>19</v>
      </c>
      <c r="H246" t="s">
        <v>20</v>
      </c>
      <c r="I246" t="s">
        <v>27</v>
      </c>
      <c r="J246" t="s">
        <v>392</v>
      </c>
    </row>
    <row r="247" spans="1:10" x14ac:dyDescent="0.3">
      <c r="A247" t="s">
        <v>34</v>
      </c>
      <c r="B247">
        <v>111523.01</v>
      </c>
      <c r="C247">
        <v>98017.57</v>
      </c>
      <c r="D247" s="1">
        <v>43864</v>
      </c>
      <c r="E247" t="s">
        <v>181</v>
      </c>
      <c r="F247" t="s">
        <v>80</v>
      </c>
      <c r="G247" t="s">
        <v>36</v>
      </c>
      <c r="H247" t="s">
        <v>104</v>
      </c>
      <c r="I247" t="s">
        <v>27</v>
      </c>
      <c r="J247" t="s">
        <v>393</v>
      </c>
    </row>
    <row r="248" spans="1:10" x14ac:dyDescent="0.3">
      <c r="A248" t="s">
        <v>17</v>
      </c>
      <c r="B248">
        <v>271411.92</v>
      </c>
      <c r="C248">
        <v>231514.37</v>
      </c>
      <c r="D248" s="1">
        <v>43720</v>
      </c>
      <c r="E248" t="s">
        <v>40</v>
      </c>
      <c r="F248" t="s">
        <v>106</v>
      </c>
      <c r="G248" t="s">
        <v>19</v>
      </c>
      <c r="H248" t="s">
        <v>20</v>
      </c>
      <c r="I248" t="s">
        <v>15</v>
      </c>
      <c r="J248" t="s">
        <v>394</v>
      </c>
    </row>
    <row r="249" spans="1:10" x14ac:dyDescent="0.3">
      <c r="A249" t="s">
        <v>122</v>
      </c>
      <c r="B249">
        <v>83141.47</v>
      </c>
      <c r="C249">
        <v>72000.509999999995</v>
      </c>
      <c r="D249" s="1">
        <v>43539</v>
      </c>
      <c r="E249" t="s">
        <v>181</v>
      </c>
      <c r="F249" t="s">
        <v>18</v>
      </c>
      <c r="G249" t="s">
        <v>123</v>
      </c>
      <c r="H249" t="s">
        <v>254</v>
      </c>
      <c r="I249" t="s">
        <v>32</v>
      </c>
      <c r="J249" t="s">
        <v>395</v>
      </c>
    </row>
    <row r="250" spans="1:10" x14ac:dyDescent="0.3">
      <c r="A250" t="s">
        <v>151</v>
      </c>
      <c r="B250">
        <v>126523.36</v>
      </c>
      <c r="C250">
        <v>106368.19</v>
      </c>
      <c r="D250" s="1">
        <v>43965</v>
      </c>
      <c r="E250" t="s">
        <v>11</v>
      </c>
      <c r="F250" t="s">
        <v>396</v>
      </c>
      <c r="G250" t="s">
        <v>152</v>
      </c>
      <c r="H250" t="s">
        <v>197</v>
      </c>
      <c r="I250" t="s">
        <v>27</v>
      </c>
      <c r="J250" t="s">
        <v>397</v>
      </c>
    </row>
    <row r="251" spans="1:10" x14ac:dyDescent="0.3">
      <c r="A251" t="s">
        <v>22</v>
      </c>
      <c r="B251">
        <v>95410.97</v>
      </c>
      <c r="C251">
        <v>80593.649999999994</v>
      </c>
      <c r="D251" s="1">
        <v>44096</v>
      </c>
      <c r="E251" t="s">
        <v>91</v>
      </c>
      <c r="F251" t="s">
        <v>300</v>
      </c>
      <c r="G251" t="s">
        <v>25</v>
      </c>
      <c r="H251" t="s">
        <v>63</v>
      </c>
      <c r="I251" t="s">
        <v>32</v>
      </c>
      <c r="J251" t="s">
        <v>398</v>
      </c>
    </row>
    <row r="252" spans="1:10" x14ac:dyDescent="0.3">
      <c r="A252" t="s">
        <v>66</v>
      </c>
      <c r="B252">
        <v>136079.62</v>
      </c>
      <c r="C252">
        <v>119178.53</v>
      </c>
      <c r="D252" s="1">
        <v>43706</v>
      </c>
      <c r="E252" t="s">
        <v>11</v>
      </c>
      <c r="F252" t="s">
        <v>236</v>
      </c>
      <c r="G252" t="s">
        <v>68</v>
      </c>
      <c r="H252" t="s">
        <v>69</v>
      </c>
      <c r="I252" t="s">
        <v>27</v>
      </c>
      <c r="J252" t="s">
        <v>399</v>
      </c>
    </row>
    <row r="253" spans="1:10" x14ac:dyDescent="0.3">
      <c r="A253" t="s">
        <v>10</v>
      </c>
      <c r="B253">
        <v>25907.52</v>
      </c>
      <c r="C253">
        <v>22454.05</v>
      </c>
      <c r="D253" s="1">
        <v>43515</v>
      </c>
      <c r="E253" t="s">
        <v>91</v>
      </c>
      <c r="F253" t="s">
        <v>400</v>
      </c>
      <c r="G253" t="s">
        <v>13</v>
      </c>
      <c r="H253" t="s">
        <v>46</v>
      </c>
      <c r="I253" t="s">
        <v>27</v>
      </c>
      <c r="J253" t="s">
        <v>401</v>
      </c>
    </row>
    <row r="254" spans="1:10" x14ac:dyDescent="0.3">
      <c r="A254" t="s">
        <v>17</v>
      </c>
      <c r="B254">
        <v>180515.09</v>
      </c>
      <c r="C254">
        <v>148852.74</v>
      </c>
      <c r="D254" s="1">
        <v>43825</v>
      </c>
      <c r="E254" t="s">
        <v>91</v>
      </c>
      <c r="F254" t="s">
        <v>95</v>
      </c>
      <c r="G254" t="s">
        <v>19</v>
      </c>
      <c r="H254" t="s">
        <v>20</v>
      </c>
      <c r="I254" t="s">
        <v>27</v>
      </c>
      <c r="J254" t="s">
        <v>402</v>
      </c>
    </row>
    <row r="255" spans="1:10" x14ac:dyDescent="0.3">
      <c r="A255" t="s">
        <v>129</v>
      </c>
      <c r="B255">
        <v>28538.19</v>
      </c>
      <c r="C255">
        <v>24970.92</v>
      </c>
      <c r="D255" s="1">
        <v>43612</v>
      </c>
      <c r="E255" t="s">
        <v>11</v>
      </c>
      <c r="F255" t="s">
        <v>256</v>
      </c>
      <c r="G255" t="s">
        <v>130</v>
      </c>
      <c r="H255" t="s">
        <v>159</v>
      </c>
      <c r="I255" t="s">
        <v>27</v>
      </c>
      <c r="J255" t="s">
        <v>403</v>
      </c>
    </row>
    <row r="256" spans="1:10" x14ac:dyDescent="0.3">
      <c r="A256" t="s">
        <v>10</v>
      </c>
      <c r="B256">
        <v>162142.74</v>
      </c>
      <c r="C256">
        <v>136037.76000000001</v>
      </c>
      <c r="D256" s="1">
        <v>43494</v>
      </c>
      <c r="E256" t="s">
        <v>40</v>
      </c>
      <c r="F256" t="s">
        <v>30</v>
      </c>
      <c r="G256" t="s">
        <v>13</v>
      </c>
      <c r="H256" t="s">
        <v>46</v>
      </c>
      <c r="I256" t="s">
        <v>27</v>
      </c>
      <c r="J256" t="s">
        <v>404</v>
      </c>
    </row>
    <row r="257" spans="1:10" x14ac:dyDescent="0.3">
      <c r="A257" t="s">
        <v>151</v>
      </c>
      <c r="B257">
        <v>37520.089999999997</v>
      </c>
      <c r="C257">
        <v>32781.300000000003</v>
      </c>
      <c r="D257" s="1">
        <v>43978</v>
      </c>
      <c r="E257" t="s">
        <v>40</v>
      </c>
      <c r="F257" t="s">
        <v>80</v>
      </c>
      <c r="G257" t="s">
        <v>152</v>
      </c>
      <c r="H257" t="s">
        <v>197</v>
      </c>
      <c r="I257" t="s">
        <v>32</v>
      </c>
      <c r="J257" t="s">
        <v>405</v>
      </c>
    </row>
    <row r="258" spans="1:10" x14ac:dyDescent="0.3">
      <c r="A258" t="s">
        <v>54</v>
      </c>
      <c r="B258">
        <v>230765.62</v>
      </c>
      <c r="C258">
        <v>195435.4</v>
      </c>
      <c r="D258" s="1">
        <v>43664</v>
      </c>
      <c r="E258" t="s">
        <v>76</v>
      </c>
      <c r="F258" t="s">
        <v>56</v>
      </c>
      <c r="G258" t="s">
        <v>57</v>
      </c>
      <c r="H258" t="s">
        <v>58</v>
      </c>
      <c r="I258" t="s">
        <v>27</v>
      </c>
      <c r="J258" t="s">
        <v>406</v>
      </c>
    </row>
    <row r="259" spans="1:10" x14ac:dyDescent="0.3">
      <c r="A259" t="s">
        <v>17</v>
      </c>
      <c r="B259">
        <v>26713.46</v>
      </c>
      <c r="C259">
        <v>22043.95</v>
      </c>
      <c r="D259" s="1">
        <v>44175</v>
      </c>
      <c r="E259" t="s">
        <v>76</v>
      </c>
      <c r="F259" t="s">
        <v>18</v>
      </c>
      <c r="G259" t="s">
        <v>19</v>
      </c>
      <c r="H259" t="s">
        <v>157</v>
      </c>
      <c r="I259" t="s">
        <v>27</v>
      </c>
      <c r="J259" t="s">
        <v>407</v>
      </c>
    </row>
    <row r="260" spans="1:10" x14ac:dyDescent="0.3">
      <c r="A260" t="s">
        <v>22</v>
      </c>
      <c r="B260">
        <v>56763.040000000001</v>
      </c>
      <c r="C260">
        <v>47663.92</v>
      </c>
      <c r="D260" s="1">
        <v>43777</v>
      </c>
      <c r="E260" t="s">
        <v>51</v>
      </c>
      <c r="F260" t="s">
        <v>30</v>
      </c>
      <c r="G260" t="s">
        <v>25</v>
      </c>
      <c r="H260" t="s">
        <v>52</v>
      </c>
      <c r="I260" t="s">
        <v>32</v>
      </c>
      <c r="J260" t="s">
        <v>408</v>
      </c>
    </row>
    <row r="261" spans="1:10" x14ac:dyDescent="0.3">
      <c r="A261" t="s">
        <v>17</v>
      </c>
      <c r="B261">
        <v>18326.41</v>
      </c>
      <c r="C261">
        <v>15067.97</v>
      </c>
      <c r="D261" s="1">
        <v>43526</v>
      </c>
      <c r="E261" t="s">
        <v>11</v>
      </c>
      <c r="F261" t="s">
        <v>308</v>
      </c>
      <c r="G261" t="s">
        <v>19</v>
      </c>
      <c r="H261" t="s">
        <v>157</v>
      </c>
      <c r="I261" t="s">
        <v>27</v>
      </c>
      <c r="J261" t="s">
        <v>409</v>
      </c>
    </row>
    <row r="262" spans="1:10" x14ac:dyDescent="0.3">
      <c r="A262" t="s">
        <v>22</v>
      </c>
      <c r="B262">
        <v>69871.92</v>
      </c>
      <c r="C262">
        <v>58014.66</v>
      </c>
      <c r="D262" s="1">
        <v>43991</v>
      </c>
      <c r="E262" t="s">
        <v>11</v>
      </c>
      <c r="F262" t="s">
        <v>56</v>
      </c>
      <c r="G262" t="s">
        <v>25</v>
      </c>
      <c r="H262" t="s">
        <v>167</v>
      </c>
      <c r="I262" t="s">
        <v>27</v>
      </c>
      <c r="J262" t="s">
        <v>410</v>
      </c>
    </row>
    <row r="263" spans="1:10" x14ac:dyDescent="0.3">
      <c r="A263" t="s">
        <v>22</v>
      </c>
      <c r="B263">
        <v>106516.4</v>
      </c>
      <c r="C263">
        <v>86928.03</v>
      </c>
      <c r="D263" s="1">
        <v>43545</v>
      </c>
      <c r="E263" t="s">
        <v>40</v>
      </c>
      <c r="F263" t="s">
        <v>302</v>
      </c>
      <c r="G263" t="s">
        <v>25</v>
      </c>
      <c r="H263" t="s">
        <v>167</v>
      </c>
      <c r="I263" t="s">
        <v>27</v>
      </c>
      <c r="J263" t="s">
        <v>411</v>
      </c>
    </row>
    <row r="264" spans="1:10" x14ac:dyDescent="0.3">
      <c r="A264" t="s">
        <v>10</v>
      </c>
      <c r="B264">
        <v>53849.120000000003</v>
      </c>
      <c r="C264">
        <v>47354.92</v>
      </c>
      <c r="D264" s="1">
        <v>43936</v>
      </c>
      <c r="E264" t="s">
        <v>11</v>
      </c>
      <c r="F264" t="s">
        <v>149</v>
      </c>
      <c r="G264" t="s">
        <v>13</v>
      </c>
      <c r="H264" t="s">
        <v>46</v>
      </c>
      <c r="I264" t="s">
        <v>27</v>
      </c>
      <c r="J264" t="s">
        <v>412</v>
      </c>
    </row>
    <row r="265" spans="1:10" x14ac:dyDescent="0.3">
      <c r="A265" t="s">
        <v>129</v>
      </c>
      <c r="B265">
        <v>99989.89</v>
      </c>
      <c r="C265">
        <v>81191.789999999994</v>
      </c>
      <c r="D265" s="1">
        <v>43784</v>
      </c>
      <c r="E265" t="s">
        <v>23</v>
      </c>
      <c r="F265" t="s">
        <v>229</v>
      </c>
      <c r="G265" t="s">
        <v>130</v>
      </c>
      <c r="H265" t="s">
        <v>159</v>
      </c>
      <c r="I265" t="s">
        <v>27</v>
      </c>
      <c r="J265" t="s">
        <v>413</v>
      </c>
    </row>
    <row r="266" spans="1:10" x14ac:dyDescent="0.3">
      <c r="A266" t="s">
        <v>17</v>
      </c>
      <c r="B266">
        <v>132760.25</v>
      </c>
      <c r="C266">
        <v>105039.91</v>
      </c>
      <c r="D266" s="1">
        <v>44013</v>
      </c>
      <c r="E266" t="s">
        <v>76</v>
      </c>
      <c r="F266" t="s">
        <v>135</v>
      </c>
      <c r="G266" t="s">
        <v>19</v>
      </c>
      <c r="H266" t="s">
        <v>31</v>
      </c>
      <c r="I266" t="s">
        <v>27</v>
      </c>
      <c r="J266" t="s">
        <v>414</v>
      </c>
    </row>
    <row r="267" spans="1:10" x14ac:dyDescent="0.3">
      <c r="A267" t="s">
        <v>66</v>
      </c>
      <c r="B267">
        <v>120831.28</v>
      </c>
      <c r="C267">
        <v>95746.71</v>
      </c>
      <c r="D267" s="1">
        <v>43973</v>
      </c>
      <c r="E267" t="s">
        <v>181</v>
      </c>
      <c r="F267" t="s">
        <v>415</v>
      </c>
      <c r="G267" t="s">
        <v>68</v>
      </c>
      <c r="H267" t="s">
        <v>69</v>
      </c>
      <c r="I267" t="s">
        <v>27</v>
      </c>
      <c r="J267" t="s">
        <v>416</v>
      </c>
    </row>
    <row r="268" spans="1:10" x14ac:dyDescent="0.3">
      <c r="A268" t="s">
        <v>22</v>
      </c>
      <c r="B268">
        <v>80474.78</v>
      </c>
      <c r="C268">
        <v>66568.740000000005</v>
      </c>
      <c r="D268" s="1">
        <v>43607</v>
      </c>
      <c r="E268" t="s">
        <v>40</v>
      </c>
      <c r="F268" t="s">
        <v>400</v>
      </c>
      <c r="G268" t="s">
        <v>25</v>
      </c>
      <c r="H268" t="s">
        <v>63</v>
      </c>
      <c r="I268" t="s">
        <v>27</v>
      </c>
      <c r="J268" t="s">
        <v>417</v>
      </c>
    </row>
    <row r="269" spans="1:10" x14ac:dyDescent="0.3">
      <c r="A269" t="s">
        <v>129</v>
      </c>
      <c r="B269">
        <v>222379.49</v>
      </c>
      <c r="C269">
        <v>192869.73</v>
      </c>
      <c r="D269" s="1">
        <v>43745</v>
      </c>
      <c r="E269" t="s">
        <v>76</v>
      </c>
      <c r="F269" t="s">
        <v>41</v>
      </c>
      <c r="G269" t="s">
        <v>130</v>
      </c>
      <c r="H269" t="s">
        <v>131</v>
      </c>
      <c r="I269" t="s">
        <v>32</v>
      </c>
      <c r="J269" t="s">
        <v>418</v>
      </c>
    </row>
    <row r="270" spans="1:10" x14ac:dyDescent="0.3">
      <c r="A270" t="s">
        <v>10</v>
      </c>
      <c r="B270">
        <v>173944.47</v>
      </c>
      <c r="C270">
        <v>139729.59</v>
      </c>
      <c r="D270" s="1">
        <v>44144</v>
      </c>
      <c r="E270" t="s">
        <v>91</v>
      </c>
      <c r="F270" t="s">
        <v>56</v>
      </c>
      <c r="G270" t="s">
        <v>13</v>
      </c>
      <c r="H270" t="s">
        <v>72</v>
      </c>
      <c r="I270" t="s">
        <v>27</v>
      </c>
      <c r="J270" t="s">
        <v>419</v>
      </c>
    </row>
    <row r="271" spans="1:10" x14ac:dyDescent="0.3">
      <c r="A271" t="s">
        <v>143</v>
      </c>
      <c r="B271">
        <v>107359.01</v>
      </c>
      <c r="C271">
        <v>90868.67</v>
      </c>
      <c r="D271" s="1">
        <v>43767</v>
      </c>
      <c r="E271" t="s">
        <v>29</v>
      </c>
      <c r="F271" t="s">
        <v>30</v>
      </c>
      <c r="G271" t="s">
        <v>145</v>
      </c>
      <c r="H271" t="s">
        <v>146</v>
      </c>
      <c r="I271" t="s">
        <v>27</v>
      </c>
      <c r="J271" t="s">
        <v>420</v>
      </c>
    </row>
    <row r="272" spans="1:10" x14ac:dyDescent="0.3">
      <c r="A272" t="s">
        <v>17</v>
      </c>
      <c r="B272">
        <v>106730.16</v>
      </c>
      <c r="C272">
        <v>89503.91</v>
      </c>
      <c r="D272" s="1">
        <v>44042</v>
      </c>
      <c r="E272" t="s">
        <v>76</v>
      </c>
      <c r="F272" t="s">
        <v>400</v>
      </c>
      <c r="G272" t="s">
        <v>19</v>
      </c>
      <c r="H272" t="s">
        <v>157</v>
      </c>
      <c r="I272" t="s">
        <v>27</v>
      </c>
      <c r="J272" t="s">
        <v>421</v>
      </c>
    </row>
    <row r="273" spans="1:10" x14ac:dyDescent="0.3">
      <c r="A273" t="s">
        <v>17</v>
      </c>
      <c r="B273">
        <v>40544.43</v>
      </c>
      <c r="C273">
        <v>32666.65</v>
      </c>
      <c r="D273" s="1">
        <v>43838</v>
      </c>
      <c r="E273" t="s">
        <v>91</v>
      </c>
      <c r="F273" t="s">
        <v>56</v>
      </c>
      <c r="G273" t="s">
        <v>19</v>
      </c>
      <c r="H273" t="s">
        <v>157</v>
      </c>
      <c r="I273" t="s">
        <v>27</v>
      </c>
      <c r="J273" t="s">
        <v>422</v>
      </c>
    </row>
    <row r="274" spans="1:10" x14ac:dyDescent="0.3">
      <c r="A274" t="s">
        <v>10</v>
      </c>
      <c r="C274">
        <v>120808.16</v>
      </c>
      <c r="D274" s="1">
        <v>43560</v>
      </c>
      <c r="E274" t="s">
        <v>23</v>
      </c>
      <c r="F274" t="s">
        <v>135</v>
      </c>
      <c r="G274" t="s">
        <v>13</v>
      </c>
      <c r="H274" t="s">
        <v>72</v>
      </c>
      <c r="I274" t="s">
        <v>27</v>
      </c>
      <c r="J274" t="s">
        <v>423</v>
      </c>
    </row>
    <row r="275" spans="1:10" x14ac:dyDescent="0.3">
      <c r="A275" t="s">
        <v>17</v>
      </c>
      <c r="B275">
        <v>144204.85999999999</v>
      </c>
      <c r="C275">
        <v>115262.94</v>
      </c>
      <c r="D275" s="1">
        <v>44054</v>
      </c>
      <c r="E275" t="s">
        <v>91</v>
      </c>
      <c r="F275" t="s">
        <v>367</v>
      </c>
      <c r="G275" t="s">
        <v>19</v>
      </c>
      <c r="H275" t="s">
        <v>20</v>
      </c>
      <c r="I275" t="s">
        <v>27</v>
      </c>
      <c r="J275" t="s">
        <v>424</v>
      </c>
    </row>
    <row r="276" spans="1:10" x14ac:dyDescent="0.3">
      <c r="A276" t="s">
        <v>17</v>
      </c>
      <c r="B276">
        <v>238659.41</v>
      </c>
      <c r="C276">
        <v>204507.25</v>
      </c>
      <c r="D276" s="1">
        <v>43822</v>
      </c>
      <c r="E276" t="s">
        <v>23</v>
      </c>
      <c r="F276" t="s">
        <v>229</v>
      </c>
      <c r="G276" t="s">
        <v>19</v>
      </c>
      <c r="H276" t="s">
        <v>20</v>
      </c>
      <c r="I276" t="s">
        <v>15</v>
      </c>
      <c r="J276" t="s">
        <v>425</v>
      </c>
    </row>
    <row r="277" spans="1:10" x14ac:dyDescent="0.3">
      <c r="A277" t="s">
        <v>17</v>
      </c>
      <c r="B277">
        <v>16388.900000000001</v>
      </c>
      <c r="C277">
        <v>13430.7</v>
      </c>
      <c r="D277" s="1">
        <v>43905</v>
      </c>
      <c r="E277" t="s">
        <v>29</v>
      </c>
      <c r="F277" t="s">
        <v>236</v>
      </c>
      <c r="G277" t="s">
        <v>19</v>
      </c>
      <c r="H277" t="s">
        <v>31</v>
      </c>
      <c r="I277" t="s">
        <v>27</v>
      </c>
      <c r="J277" t="s">
        <v>426</v>
      </c>
    </row>
    <row r="278" spans="1:10" x14ac:dyDescent="0.3">
      <c r="A278" t="s">
        <v>22</v>
      </c>
      <c r="B278">
        <v>55166.78</v>
      </c>
      <c r="C278">
        <v>47443.43</v>
      </c>
      <c r="D278" s="1">
        <v>43934</v>
      </c>
      <c r="E278" t="s">
        <v>91</v>
      </c>
      <c r="F278" t="s">
        <v>335</v>
      </c>
      <c r="G278" t="s">
        <v>25</v>
      </c>
      <c r="H278" t="s">
        <v>63</v>
      </c>
      <c r="I278" t="s">
        <v>27</v>
      </c>
      <c r="J278" t="s">
        <v>427</v>
      </c>
    </row>
    <row r="279" spans="1:10" x14ac:dyDescent="0.3">
      <c r="A279" t="s">
        <v>10</v>
      </c>
      <c r="B279">
        <v>46849.71</v>
      </c>
      <c r="C279">
        <v>39630.17</v>
      </c>
      <c r="D279" s="1">
        <v>43703</v>
      </c>
      <c r="E279" t="s">
        <v>76</v>
      </c>
      <c r="F279" t="s">
        <v>227</v>
      </c>
      <c r="G279" t="s">
        <v>13</v>
      </c>
      <c r="H279" t="s">
        <v>81</v>
      </c>
      <c r="I279" t="s">
        <v>27</v>
      </c>
      <c r="J279" t="s">
        <v>428</v>
      </c>
    </row>
    <row r="280" spans="1:10" x14ac:dyDescent="0.3">
      <c r="A280" t="s">
        <v>22</v>
      </c>
      <c r="B280">
        <v>294472.77</v>
      </c>
      <c r="C280">
        <v>255572.92</v>
      </c>
      <c r="D280" s="1">
        <v>43775</v>
      </c>
      <c r="E280" t="s">
        <v>51</v>
      </c>
      <c r="F280" t="s">
        <v>335</v>
      </c>
      <c r="G280" t="s">
        <v>25</v>
      </c>
      <c r="H280" t="s">
        <v>167</v>
      </c>
      <c r="I280" t="s">
        <v>15</v>
      </c>
      <c r="J280" t="s">
        <v>429</v>
      </c>
    </row>
    <row r="281" spans="1:10" x14ac:dyDescent="0.3">
      <c r="A281" t="s">
        <v>17</v>
      </c>
      <c r="B281">
        <v>80294.559999999998</v>
      </c>
      <c r="C281">
        <v>65295.54</v>
      </c>
      <c r="D281" s="1">
        <v>43565</v>
      </c>
      <c r="E281" t="s">
        <v>91</v>
      </c>
      <c r="F281" t="s">
        <v>314</v>
      </c>
      <c r="G281" t="s">
        <v>19</v>
      </c>
      <c r="H281" t="s">
        <v>49</v>
      </c>
      <c r="I281" t="s">
        <v>27</v>
      </c>
      <c r="J281" t="s">
        <v>430</v>
      </c>
    </row>
    <row r="282" spans="1:10" x14ac:dyDescent="0.3">
      <c r="A282" t="s">
        <v>17</v>
      </c>
      <c r="B282">
        <v>56823.17</v>
      </c>
      <c r="C282">
        <v>46583.63</v>
      </c>
      <c r="D282" s="1">
        <v>43820</v>
      </c>
      <c r="E282" t="s">
        <v>76</v>
      </c>
      <c r="F282" t="s">
        <v>149</v>
      </c>
      <c r="G282" t="s">
        <v>19</v>
      </c>
      <c r="H282" t="s">
        <v>157</v>
      </c>
      <c r="I282" t="s">
        <v>32</v>
      </c>
      <c r="J282" t="s">
        <v>431</v>
      </c>
    </row>
    <row r="283" spans="1:10" x14ac:dyDescent="0.3">
      <c r="A283" t="s">
        <v>17</v>
      </c>
      <c r="B283">
        <v>72314.73</v>
      </c>
      <c r="C283">
        <v>57309.42</v>
      </c>
      <c r="D283" s="1">
        <v>43704</v>
      </c>
      <c r="E283" t="s">
        <v>23</v>
      </c>
      <c r="F283" t="s">
        <v>56</v>
      </c>
      <c r="G283" t="s">
        <v>19</v>
      </c>
      <c r="H283" t="s">
        <v>157</v>
      </c>
      <c r="I283" t="s">
        <v>27</v>
      </c>
      <c r="J283" t="s">
        <v>432</v>
      </c>
    </row>
    <row r="284" spans="1:10" x14ac:dyDescent="0.3">
      <c r="A284" t="s">
        <v>54</v>
      </c>
      <c r="B284">
        <v>241782.39</v>
      </c>
      <c r="C284">
        <v>196544.91</v>
      </c>
      <c r="D284" s="1">
        <v>44080</v>
      </c>
      <c r="E284" t="s">
        <v>23</v>
      </c>
      <c r="F284" t="s">
        <v>56</v>
      </c>
      <c r="G284" t="s">
        <v>57</v>
      </c>
      <c r="H284" t="s">
        <v>58</v>
      </c>
      <c r="I284" t="s">
        <v>27</v>
      </c>
      <c r="J284" t="s">
        <v>433</v>
      </c>
    </row>
    <row r="285" spans="1:10" x14ac:dyDescent="0.3">
      <c r="A285" t="s">
        <v>10</v>
      </c>
      <c r="B285">
        <v>152522.94</v>
      </c>
      <c r="C285">
        <v>122399.66</v>
      </c>
      <c r="D285" s="1">
        <v>44139</v>
      </c>
      <c r="E285" t="s">
        <v>181</v>
      </c>
      <c r="F285" t="s">
        <v>434</v>
      </c>
      <c r="G285" t="s">
        <v>13</v>
      </c>
      <c r="H285" t="s">
        <v>72</v>
      </c>
      <c r="I285" t="s">
        <v>27</v>
      </c>
      <c r="J285" t="s">
        <v>435</v>
      </c>
    </row>
    <row r="286" spans="1:10" x14ac:dyDescent="0.3">
      <c r="A286" t="s">
        <v>22</v>
      </c>
      <c r="B286">
        <v>98521.87</v>
      </c>
      <c r="C286">
        <v>84571.17</v>
      </c>
      <c r="D286" s="1">
        <v>43862</v>
      </c>
      <c r="E286" t="s">
        <v>40</v>
      </c>
      <c r="F286" t="s">
        <v>56</v>
      </c>
      <c r="G286" t="s">
        <v>25</v>
      </c>
      <c r="H286" t="s">
        <v>87</v>
      </c>
      <c r="I286" t="s">
        <v>27</v>
      </c>
      <c r="J286" t="s">
        <v>436</v>
      </c>
    </row>
    <row r="287" spans="1:10" x14ac:dyDescent="0.3">
      <c r="A287" t="s">
        <v>66</v>
      </c>
      <c r="B287">
        <v>108920.56</v>
      </c>
      <c r="C287">
        <v>94270.74</v>
      </c>
      <c r="D287" s="1">
        <v>43684</v>
      </c>
      <c r="E287" t="s">
        <v>91</v>
      </c>
      <c r="F287" t="s">
        <v>135</v>
      </c>
      <c r="G287" t="s">
        <v>68</v>
      </c>
      <c r="H287" t="s">
        <v>69</v>
      </c>
      <c r="I287" t="s">
        <v>27</v>
      </c>
      <c r="J287" t="s">
        <v>437</v>
      </c>
    </row>
    <row r="288" spans="1:10" x14ac:dyDescent="0.3">
      <c r="A288" t="s">
        <v>66</v>
      </c>
      <c r="B288">
        <v>74732.789999999994</v>
      </c>
      <c r="C288">
        <v>64098.31</v>
      </c>
      <c r="D288" s="1">
        <v>43885</v>
      </c>
      <c r="E288" t="s">
        <v>76</v>
      </c>
      <c r="F288" t="s">
        <v>367</v>
      </c>
      <c r="G288" t="s">
        <v>68</v>
      </c>
      <c r="H288" t="s">
        <v>69</v>
      </c>
      <c r="I288" t="s">
        <v>27</v>
      </c>
      <c r="J288" t="s">
        <v>438</v>
      </c>
    </row>
    <row r="289" spans="1:10" x14ac:dyDescent="0.3">
      <c r="A289" t="s">
        <v>22</v>
      </c>
      <c r="B289">
        <v>152676.76999999999</v>
      </c>
      <c r="C289">
        <v>122385.7</v>
      </c>
      <c r="D289" s="1">
        <v>44019</v>
      </c>
      <c r="E289" t="s">
        <v>181</v>
      </c>
      <c r="F289" t="s">
        <v>102</v>
      </c>
      <c r="G289" t="s">
        <v>25</v>
      </c>
      <c r="H289" t="s">
        <v>167</v>
      </c>
      <c r="I289" t="s">
        <v>27</v>
      </c>
      <c r="J289" t="s">
        <v>439</v>
      </c>
    </row>
    <row r="290" spans="1:10" x14ac:dyDescent="0.3">
      <c r="A290" t="s">
        <v>10</v>
      </c>
      <c r="B290">
        <v>63196.98</v>
      </c>
      <c r="C290">
        <v>54671.71</v>
      </c>
      <c r="D290" s="1">
        <v>43573</v>
      </c>
      <c r="E290" t="s">
        <v>51</v>
      </c>
      <c r="F290" t="s">
        <v>102</v>
      </c>
      <c r="G290" t="s">
        <v>13</v>
      </c>
      <c r="H290" t="s">
        <v>110</v>
      </c>
      <c r="I290" t="s">
        <v>27</v>
      </c>
      <c r="J290" t="s">
        <v>440</v>
      </c>
    </row>
    <row r="291" spans="1:10" x14ac:dyDescent="0.3">
      <c r="A291" t="s">
        <v>22</v>
      </c>
      <c r="B291">
        <v>172444.09</v>
      </c>
      <c r="C291">
        <v>149681.47</v>
      </c>
      <c r="D291" s="1">
        <v>43586</v>
      </c>
      <c r="E291" t="s">
        <v>51</v>
      </c>
      <c r="F291" t="s">
        <v>244</v>
      </c>
      <c r="G291" t="s">
        <v>25</v>
      </c>
      <c r="H291" t="s">
        <v>63</v>
      </c>
      <c r="I291" t="s">
        <v>27</v>
      </c>
      <c r="J291" t="s">
        <v>441</v>
      </c>
    </row>
    <row r="292" spans="1:10" x14ac:dyDescent="0.3">
      <c r="A292" t="s">
        <v>34</v>
      </c>
      <c r="B292">
        <v>78013.63</v>
      </c>
      <c r="C292">
        <v>64509.47</v>
      </c>
      <c r="D292" s="1">
        <v>43925</v>
      </c>
      <c r="E292" t="s">
        <v>40</v>
      </c>
      <c r="F292" t="s">
        <v>214</v>
      </c>
      <c r="G292" t="s">
        <v>36</v>
      </c>
      <c r="H292" t="s">
        <v>37</v>
      </c>
      <c r="I292" t="s">
        <v>27</v>
      </c>
      <c r="J292" t="s">
        <v>442</v>
      </c>
    </row>
    <row r="293" spans="1:10" x14ac:dyDescent="0.3">
      <c r="A293" t="s">
        <v>17</v>
      </c>
      <c r="B293">
        <v>84712.13</v>
      </c>
      <c r="C293">
        <v>73004.91</v>
      </c>
      <c r="D293" s="1">
        <v>44142</v>
      </c>
      <c r="E293" t="s">
        <v>91</v>
      </c>
      <c r="F293" t="s">
        <v>97</v>
      </c>
      <c r="G293" t="s">
        <v>19</v>
      </c>
      <c r="H293" t="s">
        <v>157</v>
      </c>
      <c r="I293" t="s">
        <v>27</v>
      </c>
      <c r="J293" t="s">
        <v>443</v>
      </c>
    </row>
    <row r="294" spans="1:10" x14ac:dyDescent="0.3">
      <c r="A294" t="s">
        <v>22</v>
      </c>
      <c r="B294">
        <v>28859.73</v>
      </c>
      <c r="C294">
        <v>23656.32</v>
      </c>
      <c r="D294" s="1">
        <v>43709</v>
      </c>
      <c r="E294" t="s">
        <v>29</v>
      </c>
      <c r="F294" t="s">
        <v>244</v>
      </c>
      <c r="G294" t="s">
        <v>25</v>
      </c>
      <c r="H294" t="s">
        <v>26</v>
      </c>
      <c r="I294" t="s">
        <v>32</v>
      </c>
      <c r="J294" t="s">
        <v>444</v>
      </c>
    </row>
    <row r="295" spans="1:10" x14ac:dyDescent="0.3">
      <c r="A295" t="s">
        <v>66</v>
      </c>
      <c r="B295">
        <v>71360.36</v>
      </c>
      <c r="C295">
        <v>59750.03</v>
      </c>
      <c r="D295" s="1">
        <v>43497</v>
      </c>
      <c r="E295" t="s">
        <v>29</v>
      </c>
      <c r="F295" t="s">
        <v>133</v>
      </c>
      <c r="G295" t="s">
        <v>68</v>
      </c>
      <c r="H295" t="s">
        <v>69</v>
      </c>
      <c r="I295" t="s">
        <v>27</v>
      </c>
      <c r="J295" t="s">
        <v>445</v>
      </c>
    </row>
    <row r="296" spans="1:10" x14ac:dyDescent="0.3">
      <c r="A296" t="s">
        <v>17</v>
      </c>
      <c r="B296">
        <v>161212.39000000001</v>
      </c>
      <c r="C296">
        <v>138046.17000000001</v>
      </c>
      <c r="D296" s="1">
        <v>43928</v>
      </c>
      <c r="E296" t="s">
        <v>55</v>
      </c>
      <c r="F296" t="s">
        <v>256</v>
      </c>
      <c r="G296" t="s">
        <v>19</v>
      </c>
      <c r="H296" t="s">
        <v>31</v>
      </c>
      <c r="I296" t="s">
        <v>27</v>
      </c>
      <c r="J296" t="s">
        <v>446</v>
      </c>
    </row>
    <row r="297" spans="1:10" x14ac:dyDescent="0.3">
      <c r="A297" t="s">
        <v>34</v>
      </c>
      <c r="B297">
        <v>124668.36</v>
      </c>
      <c r="C297">
        <v>103998.35</v>
      </c>
      <c r="D297" s="1">
        <v>43962</v>
      </c>
      <c r="E297" t="s">
        <v>11</v>
      </c>
      <c r="F297" t="s">
        <v>106</v>
      </c>
      <c r="G297" t="s">
        <v>36</v>
      </c>
      <c r="H297" t="s">
        <v>104</v>
      </c>
      <c r="I297" t="s">
        <v>27</v>
      </c>
      <c r="J297" t="s">
        <v>447</v>
      </c>
    </row>
    <row r="298" spans="1:10" x14ac:dyDescent="0.3">
      <c r="A298" t="s">
        <v>129</v>
      </c>
      <c r="B298">
        <v>186397.6</v>
      </c>
      <c r="C298">
        <v>161233.92000000001</v>
      </c>
      <c r="D298" s="1">
        <v>43933</v>
      </c>
      <c r="E298" t="s">
        <v>23</v>
      </c>
      <c r="F298" t="s">
        <v>77</v>
      </c>
      <c r="G298" t="s">
        <v>130</v>
      </c>
      <c r="H298" t="s">
        <v>131</v>
      </c>
      <c r="I298" t="s">
        <v>32</v>
      </c>
      <c r="J298" t="s">
        <v>448</v>
      </c>
    </row>
    <row r="299" spans="1:10" x14ac:dyDescent="0.3">
      <c r="A299" t="s">
        <v>10</v>
      </c>
      <c r="B299">
        <v>153823.74</v>
      </c>
      <c r="C299">
        <v>129258.09</v>
      </c>
      <c r="D299" s="1">
        <v>44165</v>
      </c>
      <c r="E299" t="s">
        <v>29</v>
      </c>
      <c r="F299" t="s">
        <v>236</v>
      </c>
      <c r="G299" t="s">
        <v>13</v>
      </c>
      <c r="H299" t="s">
        <v>81</v>
      </c>
      <c r="I299" t="s">
        <v>32</v>
      </c>
      <c r="J299" t="s">
        <v>449</v>
      </c>
    </row>
    <row r="300" spans="1:10" x14ac:dyDescent="0.3">
      <c r="A300" t="s">
        <v>54</v>
      </c>
      <c r="B300">
        <v>169544.95</v>
      </c>
      <c r="C300">
        <v>137568.76999999999</v>
      </c>
      <c r="D300" s="1">
        <v>44169</v>
      </c>
      <c r="E300" t="s">
        <v>23</v>
      </c>
      <c r="F300" t="s">
        <v>214</v>
      </c>
      <c r="G300" t="s">
        <v>57</v>
      </c>
      <c r="H300" t="s">
        <v>58</v>
      </c>
      <c r="I300" t="s">
        <v>32</v>
      </c>
      <c r="J300" t="s">
        <v>450</v>
      </c>
    </row>
    <row r="301" spans="1:10" x14ac:dyDescent="0.3">
      <c r="A301" t="s">
        <v>10</v>
      </c>
      <c r="B301">
        <v>58010.14</v>
      </c>
      <c r="C301">
        <v>46089.06</v>
      </c>
      <c r="D301" s="1">
        <v>43778</v>
      </c>
      <c r="E301" t="s">
        <v>23</v>
      </c>
      <c r="F301" t="s">
        <v>144</v>
      </c>
      <c r="G301" t="s">
        <v>13</v>
      </c>
      <c r="H301" t="s">
        <v>14</v>
      </c>
      <c r="I301" t="s">
        <v>27</v>
      </c>
      <c r="J301" t="s">
        <v>451</v>
      </c>
    </row>
    <row r="302" spans="1:10" x14ac:dyDescent="0.3">
      <c r="A302" t="s">
        <v>143</v>
      </c>
      <c r="B302">
        <v>58933.16</v>
      </c>
      <c r="C302">
        <v>51855.29</v>
      </c>
      <c r="D302" s="1">
        <v>43728</v>
      </c>
      <c r="E302" t="s">
        <v>29</v>
      </c>
      <c r="F302" t="s">
        <v>156</v>
      </c>
      <c r="G302" t="s">
        <v>145</v>
      </c>
      <c r="H302" t="s">
        <v>206</v>
      </c>
      <c r="I302" t="s">
        <v>32</v>
      </c>
      <c r="J302" t="s">
        <v>452</v>
      </c>
    </row>
    <row r="303" spans="1:10" x14ac:dyDescent="0.3">
      <c r="A303" t="s">
        <v>34</v>
      </c>
      <c r="B303">
        <v>165631.75</v>
      </c>
      <c r="C303">
        <v>139114.10999999999</v>
      </c>
      <c r="D303" s="1">
        <v>43533</v>
      </c>
      <c r="E303" t="s">
        <v>23</v>
      </c>
      <c r="F303" t="s">
        <v>56</v>
      </c>
      <c r="G303" t="s">
        <v>36</v>
      </c>
      <c r="H303" t="s">
        <v>93</v>
      </c>
      <c r="I303" t="s">
        <v>27</v>
      </c>
      <c r="J303" t="s">
        <v>453</v>
      </c>
    </row>
    <row r="304" spans="1:10" x14ac:dyDescent="0.3">
      <c r="A304" t="s">
        <v>17</v>
      </c>
      <c r="B304">
        <v>76543.360000000001</v>
      </c>
      <c r="C304">
        <v>65819.64</v>
      </c>
      <c r="D304" s="1">
        <v>43545</v>
      </c>
      <c r="E304" t="s">
        <v>55</v>
      </c>
      <c r="F304" t="s">
        <v>285</v>
      </c>
      <c r="G304" t="s">
        <v>19</v>
      </c>
      <c r="H304" t="s">
        <v>157</v>
      </c>
      <c r="I304" t="s">
        <v>27</v>
      </c>
      <c r="J304" t="s">
        <v>454</v>
      </c>
    </row>
    <row r="305" spans="1:10" x14ac:dyDescent="0.3">
      <c r="A305" t="s">
        <v>17</v>
      </c>
      <c r="B305">
        <v>82697.53</v>
      </c>
      <c r="C305">
        <v>69548.62</v>
      </c>
      <c r="D305" s="1">
        <v>44173</v>
      </c>
      <c r="E305" t="s">
        <v>11</v>
      </c>
      <c r="F305" t="s">
        <v>80</v>
      </c>
      <c r="G305" t="s">
        <v>19</v>
      </c>
      <c r="H305" t="s">
        <v>49</v>
      </c>
      <c r="I305" t="s">
        <v>27</v>
      </c>
      <c r="J305" t="s">
        <v>455</v>
      </c>
    </row>
    <row r="306" spans="1:10" x14ac:dyDescent="0.3">
      <c r="A306" t="s">
        <v>22</v>
      </c>
      <c r="B306">
        <v>135211.42000000001</v>
      </c>
      <c r="C306">
        <v>108534.21</v>
      </c>
      <c r="D306" s="1">
        <v>43807</v>
      </c>
      <c r="E306" t="s">
        <v>40</v>
      </c>
      <c r="F306" t="s">
        <v>244</v>
      </c>
      <c r="G306" t="s">
        <v>25</v>
      </c>
      <c r="H306" t="s">
        <v>26</v>
      </c>
      <c r="I306" t="s">
        <v>27</v>
      </c>
      <c r="J306" t="s">
        <v>456</v>
      </c>
    </row>
    <row r="307" spans="1:10" x14ac:dyDescent="0.3">
      <c r="A307" t="s">
        <v>39</v>
      </c>
      <c r="B307">
        <v>142353.07</v>
      </c>
      <c r="C307">
        <v>116046.22</v>
      </c>
      <c r="D307" s="1">
        <v>43670</v>
      </c>
      <c r="E307" t="s">
        <v>91</v>
      </c>
      <c r="F307" t="s">
        <v>174</v>
      </c>
      <c r="G307" t="s">
        <v>42</v>
      </c>
      <c r="H307" t="s">
        <v>43</v>
      </c>
      <c r="I307" t="s">
        <v>27</v>
      </c>
      <c r="J307" t="s">
        <v>457</v>
      </c>
    </row>
    <row r="308" spans="1:10" x14ac:dyDescent="0.3">
      <c r="A308" t="s">
        <v>34</v>
      </c>
      <c r="B308">
        <v>156177.76999999999</v>
      </c>
      <c r="C308">
        <v>130096.08</v>
      </c>
      <c r="D308" s="1">
        <v>43823</v>
      </c>
      <c r="E308" t="s">
        <v>40</v>
      </c>
      <c r="F308" t="s">
        <v>56</v>
      </c>
      <c r="G308" t="s">
        <v>36</v>
      </c>
      <c r="H308" t="s">
        <v>104</v>
      </c>
      <c r="I308" t="s">
        <v>27</v>
      </c>
      <c r="J308" t="s">
        <v>458</v>
      </c>
    </row>
    <row r="309" spans="1:10" x14ac:dyDescent="0.3">
      <c r="A309" t="s">
        <v>22</v>
      </c>
      <c r="B309">
        <v>99832.12</v>
      </c>
      <c r="C309">
        <v>84128.53</v>
      </c>
      <c r="D309" s="1">
        <v>43600</v>
      </c>
      <c r="E309" t="s">
        <v>23</v>
      </c>
      <c r="F309" t="s">
        <v>164</v>
      </c>
      <c r="G309" t="s">
        <v>25</v>
      </c>
      <c r="H309" t="s">
        <v>52</v>
      </c>
      <c r="I309" t="s">
        <v>27</v>
      </c>
      <c r="J309" t="s">
        <v>459</v>
      </c>
    </row>
    <row r="310" spans="1:10" x14ac:dyDescent="0.3">
      <c r="A310" t="s">
        <v>34</v>
      </c>
      <c r="B310">
        <v>176662.26</v>
      </c>
      <c r="C310">
        <v>146859.34</v>
      </c>
      <c r="D310" s="1">
        <v>44010</v>
      </c>
      <c r="E310" t="s">
        <v>29</v>
      </c>
      <c r="F310" t="s">
        <v>74</v>
      </c>
      <c r="G310" t="s">
        <v>36</v>
      </c>
      <c r="H310" t="s">
        <v>37</v>
      </c>
      <c r="I310" t="s">
        <v>27</v>
      </c>
      <c r="J310" t="s">
        <v>460</v>
      </c>
    </row>
    <row r="311" spans="1:10" x14ac:dyDescent="0.3">
      <c r="A311" t="s">
        <v>22</v>
      </c>
      <c r="B311">
        <v>156839.31</v>
      </c>
      <c r="C311">
        <v>134709.28</v>
      </c>
      <c r="D311" s="1">
        <v>44140</v>
      </c>
      <c r="E311" t="s">
        <v>51</v>
      </c>
      <c r="F311" t="s">
        <v>461</v>
      </c>
      <c r="G311" t="s">
        <v>25</v>
      </c>
      <c r="H311" t="s">
        <v>26</v>
      </c>
      <c r="I311" t="s">
        <v>27</v>
      </c>
      <c r="J311" t="s">
        <v>462</v>
      </c>
    </row>
    <row r="312" spans="1:10" x14ac:dyDescent="0.3">
      <c r="A312" t="s">
        <v>17</v>
      </c>
      <c r="B312">
        <v>74685.850000000006</v>
      </c>
      <c r="C312">
        <v>59166.13</v>
      </c>
      <c r="D312" s="1">
        <v>43974</v>
      </c>
      <c r="E312" t="s">
        <v>11</v>
      </c>
      <c r="F312" t="s">
        <v>312</v>
      </c>
      <c r="G312" t="s">
        <v>19</v>
      </c>
      <c r="H312" t="s">
        <v>49</v>
      </c>
      <c r="I312" t="s">
        <v>27</v>
      </c>
      <c r="J312" t="s">
        <v>463</v>
      </c>
    </row>
    <row r="313" spans="1:10" x14ac:dyDescent="0.3">
      <c r="A313" t="s">
        <v>39</v>
      </c>
      <c r="B313">
        <v>127830.38</v>
      </c>
      <c r="C313">
        <v>103874.97</v>
      </c>
      <c r="D313" s="1">
        <v>43972</v>
      </c>
      <c r="E313" t="s">
        <v>11</v>
      </c>
      <c r="F313" t="s">
        <v>45</v>
      </c>
      <c r="G313" t="s">
        <v>42</v>
      </c>
      <c r="H313" t="s">
        <v>43</v>
      </c>
      <c r="I313" t="s">
        <v>27</v>
      </c>
      <c r="J313" t="s">
        <v>464</v>
      </c>
    </row>
    <row r="314" spans="1:10" x14ac:dyDescent="0.3">
      <c r="A314" t="s">
        <v>129</v>
      </c>
      <c r="B314">
        <v>132246.48000000001</v>
      </c>
      <c r="C314">
        <v>106841.93</v>
      </c>
      <c r="D314" s="1">
        <v>43497</v>
      </c>
      <c r="E314" t="s">
        <v>11</v>
      </c>
      <c r="F314" t="s">
        <v>74</v>
      </c>
      <c r="G314" t="s">
        <v>130</v>
      </c>
      <c r="H314" t="s">
        <v>131</v>
      </c>
      <c r="I314" t="s">
        <v>27</v>
      </c>
      <c r="J314" t="s">
        <v>465</v>
      </c>
    </row>
    <row r="315" spans="1:10" x14ac:dyDescent="0.3">
      <c r="A315" t="s">
        <v>216</v>
      </c>
      <c r="B315">
        <v>102073.04</v>
      </c>
      <c r="C315">
        <v>81770.710000000006</v>
      </c>
      <c r="D315" s="1">
        <v>43864</v>
      </c>
      <c r="E315" t="s">
        <v>181</v>
      </c>
      <c r="F315" t="s">
        <v>400</v>
      </c>
      <c r="G315" t="s">
        <v>217</v>
      </c>
      <c r="H315" t="s">
        <v>218</v>
      </c>
      <c r="I315" t="s">
        <v>32</v>
      </c>
      <c r="J315" t="s">
        <v>466</v>
      </c>
    </row>
    <row r="316" spans="1:10" x14ac:dyDescent="0.3">
      <c r="A316" t="s">
        <v>34</v>
      </c>
      <c r="B316">
        <v>18897.97</v>
      </c>
      <c r="C316">
        <v>16469.580000000002</v>
      </c>
      <c r="D316" s="1">
        <v>43877</v>
      </c>
      <c r="E316" t="s">
        <v>99</v>
      </c>
      <c r="F316" t="s">
        <v>106</v>
      </c>
      <c r="G316" t="s">
        <v>36</v>
      </c>
      <c r="H316" t="s">
        <v>104</v>
      </c>
      <c r="I316" t="s">
        <v>32</v>
      </c>
      <c r="J316" t="s">
        <v>467</v>
      </c>
    </row>
    <row r="317" spans="1:10" x14ac:dyDescent="0.3">
      <c r="A317" t="s">
        <v>10</v>
      </c>
      <c r="B317">
        <v>144072.9</v>
      </c>
      <c r="C317">
        <v>123729.81</v>
      </c>
      <c r="D317" s="1">
        <v>43659</v>
      </c>
      <c r="E317" t="s">
        <v>76</v>
      </c>
      <c r="F317" t="s">
        <v>62</v>
      </c>
      <c r="G317" t="s">
        <v>13</v>
      </c>
      <c r="H317" t="s">
        <v>81</v>
      </c>
      <c r="I317" t="s">
        <v>27</v>
      </c>
      <c r="J317" t="s">
        <v>468</v>
      </c>
    </row>
    <row r="318" spans="1:10" x14ac:dyDescent="0.3">
      <c r="A318" t="s">
        <v>10</v>
      </c>
      <c r="B318">
        <v>28755.32</v>
      </c>
      <c r="C318">
        <v>23938.799999999999</v>
      </c>
      <c r="D318" s="1">
        <v>43748</v>
      </c>
      <c r="E318" t="s">
        <v>91</v>
      </c>
      <c r="F318" t="s">
        <v>300</v>
      </c>
      <c r="G318" t="s">
        <v>13</v>
      </c>
      <c r="H318" t="s">
        <v>72</v>
      </c>
      <c r="I318" t="s">
        <v>27</v>
      </c>
      <c r="J318" t="s">
        <v>469</v>
      </c>
    </row>
    <row r="319" spans="1:10" x14ac:dyDescent="0.3">
      <c r="A319" t="s">
        <v>151</v>
      </c>
      <c r="B319">
        <v>161630.62</v>
      </c>
      <c r="C319">
        <v>133991.78</v>
      </c>
      <c r="D319" s="1">
        <v>43559</v>
      </c>
      <c r="E319" t="s">
        <v>23</v>
      </c>
      <c r="F319" t="s">
        <v>74</v>
      </c>
      <c r="G319" t="s">
        <v>152</v>
      </c>
      <c r="H319" t="s">
        <v>153</v>
      </c>
      <c r="I319" t="s">
        <v>27</v>
      </c>
      <c r="J319" t="s">
        <v>470</v>
      </c>
    </row>
    <row r="320" spans="1:10" x14ac:dyDescent="0.3">
      <c r="A320" t="s">
        <v>17</v>
      </c>
      <c r="B320">
        <v>234961.46</v>
      </c>
      <c r="C320">
        <v>199388.3</v>
      </c>
      <c r="D320" s="1">
        <v>43502</v>
      </c>
      <c r="E320" t="s">
        <v>55</v>
      </c>
      <c r="F320" t="s">
        <v>471</v>
      </c>
      <c r="G320" t="s">
        <v>19</v>
      </c>
      <c r="H320" t="s">
        <v>78</v>
      </c>
      <c r="I320" t="s">
        <v>32</v>
      </c>
      <c r="J320" t="s">
        <v>472</v>
      </c>
    </row>
    <row r="321" spans="1:10" x14ac:dyDescent="0.3">
      <c r="A321" t="s">
        <v>39</v>
      </c>
      <c r="B321">
        <v>38536.92</v>
      </c>
      <c r="C321">
        <v>32001.06</v>
      </c>
      <c r="D321" s="1">
        <v>43979</v>
      </c>
      <c r="E321" t="s">
        <v>91</v>
      </c>
      <c r="F321" t="s">
        <v>102</v>
      </c>
      <c r="G321" t="s">
        <v>42</v>
      </c>
      <c r="H321" t="s">
        <v>43</v>
      </c>
      <c r="I321" t="s">
        <v>32</v>
      </c>
      <c r="J321" t="s">
        <v>473</v>
      </c>
    </row>
    <row r="322" spans="1:10" x14ac:dyDescent="0.3">
      <c r="A322" t="s">
        <v>151</v>
      </c>
      <c r="B322">
        <v>46857.77</v>
      </c>
      <c r="C322">
        <v>39116.870000000003</v>
      </c>
      <c r="D322" s="1">
        <v>44001</v>
      </c>
      <c r="E322" t="s">
        <v>11</v>
      </c>
      <c r="F322" t="s">
        <v>56</v>
      </c>
      <c r="G322" t="s">
        <v>152</v>
      </c>
      <c r="H322" t="s">
        <v>153</v>
      </c>
      <c r="I322" t="s">
        <v>32</v>
      </c>
      <c r="J322" t="s">
        <v>474</v>
      </c>
    </row>
    <row r="323" spans="1:10" x14ac:dyDescent="0.3">
      <c r="A323" t="s">
        <v>10</v>
      </c>
      <c r="B323">
        <v>177215.51</v>
      </c>
      <c r="C323">
        <v>155807.88</v>
      </c>
      <c r="D323" s="1">
        <v>43651</v>
      </c>
      <c r="E323" t="s">
        <v>40</v>
      </c>
      <c r="F323" t="s">
        <v>308</v>
      </c>
      <c r="G323" t="s">
        <v>13</v>
      </c>
      <c r="H323" t="s">
        <v>46</v>
      </c>
      <c r="I323" t="s">
        <v>27</v>
      </c>
      <c r="J323" t="s">
        <v>475</v>
      </c>
    </row>
    <row r="324" spans="1:10" x14ac:dyDescent="0.3">
      <c r="A324" t="s">
        <v>34</v>
      </c>
      <c r="B324">
        <v>149938.35999999999</v>
      </c>
      <c r="C324">
        <v>123579.2</v>
      </c>
      <c r="D324" s="1">
        <v>44149</v>
      </c>
      <c r="E324" t="s">
        <v>23</v>
      </c>
      <c r="F324" t="s">
        <v>56</v>
      </c>
      <c r="G324" t="s">
        <v>36</v>
      </c>
      <c r="H324" t="s">
        <v>93</v>
      </c>
      <c r="I324" t="s">
        <v>27</v>
      </c>
      <c r="J324" t="s">
        <v>476</v>
      </c>
    </row>
    <row r="325" spans="1:10" x14ac:dyDescent="0.3">
      <c r="A325" t="s">
        <v>10</v>
      </c>
      <c r="B325">
        <v>157683.41</v>
      </c>
      <c r="C325">
        <v>130624.94</v>
      </c>
      <c r="D325" s="1">
        <v>43683</v>
      </c>
      <c r="E325" t="s">
        <v>29</v>
      </c>
      <c r="F325" t="s">
        <v>24</v>
      </c>
      <c r="G325" t="s">
        <v>13</v>
      </c>
      <c r="H325" t="s">
        <v>46</v>
      </c>
      <c r="I325" t="s">
        <v>15</v>
      </c>
      <c r="J325" t="s">
        <v>477</v>
      </c>
    </row>
    <row r="326" spans="1:10" x14ac:dyDescent="0.3">
      <c r="A326" t="s">
        <v>122</v>
      </c>
      <c r="B326">
        <v>91108.56</v>
      </c>
      <c r="C326">
        <v>74089.48</v>
      </c>
      <c r="D326" s="1">
        <v>44006</v>
      </c>
      <c r="E326" t="s">
        <v>23</v>
      </c>
      <c r="F326" t="s">
        <v>292</v>
      </c>
      <c r="G326" t="s">
        <v>123</v>
      </c>
      <c r="H326" t="s">
        <v>254</v>
      </c>
      <c r="I326" t="s">
        <v>27</v>
      </c>
      <c r="J326" t="s">
        <v>478</v>
      </c>
    </row>
    <row r="327" spans="1:10" x14ac:dyDescent="0.3">
      <c r="A327" t="s">
        <v>17</v>
      </c>
      <c r="B327">
        <v>165259.57999999999</v>
      </c>
      <c r="C327">
        <v>130703.8</v>
      </c>
      <c r="D327" s="1">
        <v>44008</v>
      </c>
      <c r="E327" t="s">
        <v>181</v>
      </c>
      <c r="F327" t="s">
        <v>126</v>
      </c>
      <c r="G327" t="s">
        <v>19</v>
      </c>
      <c r="H327" t="s">
        <v>31</v>
      </c>
      <c r="I327" t="s">
        <v>27</v>
      </c>
      <c r="J327" t="s">
        <v>479</v>
      </c>
    </row>
    <row r="328" spans="1:10" x14ac:dyDescent="0.3">
      <c r="A328" t="s">
        <v>22</v>
      </c>
      <c r="B328">
        <v>223233.32</v>
      </c>
      <c r="C328">
        <v>179100.09</v>
      </c>
      <c r="D328" s="1">
        <v>43644</v>
      </c>
      <c r="E328" t="s">
        <v>11</v>
      </c>
      <c r="F328" t="s">
        <v>45</v>
      </c>
      <c r="G328" t="s">
        <v>25</v>
      </c>
      <c r="H328" t="s">
        <v>26</v>
      </c>
      <c r="I328" t="s">
        <v>27</v>
      </c>
      <c r="J328" t="s">
        <v>480</v>
      </c>
    </row>
    <row r="329" spans="1:10" x14ac:dyDescent="0.3">
      <c r="A329" t="s">
        <v>22</v>
      </c>
      <c r="B329">
        <v>84767.77</v>
      </c>
      <c r="C329">
        <v>68950.100000000006</v>
      </c>
      <c r="D329" s="1">
        <v>43848</v>
      </c>
      <c r="E329" t="s">
        <v>29</v>
      </c>
      <c r="F329" t="s">
        <v>139</v>
      </c>
      <c r="G329" t="s">
        <v>25</v>
      </c>
      <c r="H329" t="s">
        <v>167</v>
      </c>
      <c r="I329" t="s">
        <v>32</v>
      </c>
      <c r="J329" t="s">
        <v>481</v>
      </c>
    </row>
    <row r="330" spans="1:10" x14ac:dyDescent="0.3">
      <c r="A330" t="s">
        <v>143</v>
      </c>
      <c r="B330">
        <v>144530.35</v>
      </c>
      <c r="C330">
        <v>115407.48</v>
      </c>
      <c r="D330" s="1">
        <v>43929</v>
      </c>
      <c r="E330" t="s">
        <v>99</v>
      </c>
      <c r="F330" t="s">
        <v>135</v>
      </c>
      <c r="G330" t="s">
        <v>145</v>
      </c>
      <c r="H330" t="s">
        <v>262</v>
      </c>
      <c r="I330" t="s">
        <v>27</v>
      </c>
      <c r="J330" t="s">
        <v>482</v>
      </c>
    </row>
    <row r="331" spans="1:10" x14ac:dyDescent="0.3">
      <c r="A331" t="s">
        <v>34</v>
      </c>
      <c r="B331">
        <v>178560.1</v>
      </c>
      <c r="C331">
        <v>150383.32</v>
      </c>
      <c r="D331" s="1">
        <v>43868</v>
      </c>
      <c r="E331" t="s">
        <v>91</v>
      </c>
      <c r="F331" t="s">
        <v>67</v>
      </c>
      <c r="G331" t="s">
        <v>36</v>
      </c>
      <c r="H331" t="s">
        <v>104</v>
      </c>
      <c r="I331" t="s">
        <v>32</v>
      </c>
      <c r="J331" t="s">
        <v>483</v>
      </c>
    </row>
    <row r="332" spans="1:10" x14ac:dyDescent="0.3">
      <c r="A332" t="s">
        <v>34</v>
      </c>
      <c r="B332">
        <v>96669.92</v>
      </c>
      <c r="C332">
        <v>76475.570000000007</v>
      </c>
      <c r="D332" s="1">
        <v>44192</v>
      </c>
      <c r="E332" t="s">
        <v>23</v>
      </c>
      <c r="F332" t="s">
        <v>56</v>
      </c>
      <c r="G332" t="s">
        <v>36</v>
      </c>
      <c r="H332" t="s">
        <v>104</v>
      </c>
      <c r="I332" t="s">
        <v>32</v>
      </c>
      <c r="J332" t="s">
        <v>484</v>
      </c>
    </row>
    <row r="333" spans="1:10" x14ac:dyDescent="0.3">
      <c r="A333" t="s">
        <v>17</v>
      </c>
      <c r="B333">
        <v>35289.75</v>
      </c>
      <c r="C333">
        <v>29424.59</v>
      </c>
      <c r="D333" s="1">
        <v>43522</v>
      </c>
      <c r="E333" t="s">
        <v>51</v>
      </c>
      <c r="F333" t="s">
        <v>126</v>
      </c>
      <c r="G333" t="s">
        <v>19</v>
      </c>
      <c r="H333" t="s">
        <v>78</v>
      </c>
      <c r="I333" t="s">
        <v>27</v>
      </c>
      <c r="J333" t="s">
        <v>485</v>
      </c>
    </row>
    <row r="334" spans="1:10" x14ac:dyDescent="0.3">
      <c r="A334" t="s">
        <v>22</v>
      </c>
      <c r="B334">
        <v>159216.47</v>
      </c>
      <c r="C334">
        <v>137419.74</v>
      </c>
      <c r="D334" s="1">
        <v>44008</v>
      </c>
      <c r="E334" t="s">
        <v>11</v>
      </c>
      <c r="F334" t="s">
        <v>56</v>
      </c>
      <c r="G334" t="s">
        <v>25</v>
      </c>
      <c r="H334" t="s">
        <v>167</v>
      </c>
      <c r="I334" t="s">
        <v>27</v>
      </c>
      <c r="J334" t="s">
        <v>486</v>
      </c>
    </row>
    <row r="335" spans="1:10" x14ac:dyDescent="0.3">
      <c r="A335" t="s">
        <v>22</v>
      </c>
      <c r="B335">
        <v>32779.67</v>
      </c>
      <c r="C335">
        <v>26800.66</v>
      </c>
      <c r="D335" s="1">
        <v>43912</v>
      </c>
      <c r="E335" t="s">
        <v>181</v>
      </c>
      <c r="F335" t="s">
        <v>80</v>
      </c>
      <c r="G335" t="s">
        <v>25</v>
      </c>
      <c r="H335" t="s">
        <v>52</v>
      </c>
      <c r="I335" t="s">
        <v>27</v>
      </c>
      <c r="J335" t="s">
        <v>487</v>
      </c>
    </row>
    <row r="336" spans="1:10" x14ac:dyDescent="0.3">
      <c r="A336" t="s">
        <v>22</v>
      </c>
      <c r="B336">
        <v>64192.86</v>
      </c>
      <c r="C336">
        <v>52837.14</v>
      </c>
      <c r="D336" s="1">
        <v>44169</v>
      </c>
      <c r="E336" t="s">
        <v>23</v>
      </c>
      <c r="F336" t="s">
        <v>56</v>
      </c>
      <c r="G336" t="s">
        <v>25</v>
      </c>
      <c r="H336" t="s">
        <v>87</v>
      </c>
      <c r="I336" t="s">
        <v>27</v>
      </c>
      <c r="J336" t="s">
        <v>488</v>
      </c>
    </row>
    <row r="337" spans="1:10" x14ac:dyDescent="0.3">
      <c r="A337" t="s">
        <v>34</v>
      </c>
      <c r="B337">
        <v>47771.76</v>
      </c>
      <c r="C337">
        <v>39234.949999999997</v>
      </c>
      <c r="D337" s="1">
        <v>43614</v>
      </c>
      <c r="E337" t="s">
        <v>76</v>
      </c>
      <c r="F337" t="s">
        <v>174</v>
      </c>
      <c r="G337" t="s">
        <v>36</v>
      </c>
      <c r="H337" t="s">
        <v>37</v>
      </c>
      <c r="I337" t="s">
        <v>27</v>
      </c>
      <c r="J337" t="s">
        <v>489</v>
      </c>
    </row>
    <row r="338" spans="1:10" x14ac:dyDescent="0.3">
      <c r="A338" t="s">
        <v>34</v>
      </c>
      <c r="B338">
        <v>126979.62</v>
      </c>
      <c r="C338">
        <v>105113.73</v>
      </c>
      <c r="D338" s="1">
        <v>43734</v>
      </c>
      <c r="E338" t="s">
        <v>29</v>
      </c>
      <c r="F338" t="s">
        <v>174</v>
      </c>
      <c r="G338" t="s">
        <v>36</v>
      </c>
      <c r="H338" t="s">
        <v>37</v>
      </c>
      <c r="I338" t="s">
        <v>27</v>
      </c>
      <c r="J338" t="s">
        <v>490</v>
      </c>
    </row>
    <row r="339" spans="1:10" x14ac:dyDescent="0.3">
      <c r="A339" t="s">
        <v>247</v>
      </c>
      <c r="B339">
        <v>46311.34</v>
      </c>
      <c r="C339">
        <v>40564.1</v>
      </c>
      <c r="D339" s="1">
        <v>43833</v>
      </c>
      <c r="E339" t="s">
        <v>55</v>
      </c>
      <c r="F339" t="s">
        <v>471</v>
      </c>
      <c r="G339" t="s">
        <v>248</v>
      </c>
      <c r="H339" t="s">
        <v>249</v>
      </c>
      <c r="I339" t="s">
        <v>27</v>
      </c>
      <c r="J339" t="s">
        <v>491</v>
      </c>
    </row>
    <row r="340" spans="1:10" x14ac:dyDescent="0.3">
      <c r="A340" t="s">
        <v>10</v>
      </c>
      <c r="B340">
        <v>92877.57</v>
      </c>
      <c r="C340">
        <v>75936.7</v>
      </c>
      <c r="D340" s="1">
        <v>43955</v>
      </c>
      <c r="E340" t="s">
        <v>29</v>
      </c>
      <c r="F340" t="s">
        <v>18</v>
      </c>
      <c r="G340" t="s">
        <v>13</v>
      </c>
      <c r="H340" t="s">
        <v>72</v>
      </c>
      <c r="I340" t="s">
        <v>32</v>
      </c>
      <c r="J340" t="s">
        <v>492</v>
      </c>
    </row>
    <row r="341" spans="1:10" x14ac:dyDescent="0.3">
      <c r="A341" t="s">
        <v>10</v>
      </c>
      <c r="B341">
        <v>86854.64</v>
      </c>
      <c r="C341">
        <v>72219.63</v>
      </c>
      <c r="D341" s="1">
        <v>43923</v>
      </c>
      <c r="E341" t="s">
        <v>91</v>
      </c>
      <c r="F341" t="s">
        <v>133</v>
      </c>
      <c r="G341" t="s">
        <v>13</v>
      </c>
      <c r="H341" t="s">
        <v>14</v>
      </c>
      <c r="I341" t="s">
        <v>27</v>
      </c>
      <c r="J341" t="s">
        <v>493</v>
      </c>
    </row>
    <row r="342" spans="1:10" x14ac:dyDescent="0.3">
      <c r="A342" t="s">
        <v>151</v>
      </c>
      <c r="B342">
        <v>68802.13</v>
      </c>
      <c r="C342">
        <v>54635.77</v>
      </c>
      <c r="D342" s="1">
        <v>44089</v>
      </c>
      <c r="E342" t="s">
        <v>76</v>
      </c>
      <c r="F342" t="s">
        <v>30</v>
      </c>
      <c r="G342" t="s">
        <v>152</v>
      </c>
      <c r="H342" t="s">
        <v>197</v>
      </c>
      <c r="I342" t="s">
        <v>27</v>
      </c>
      <c r="J342" t="s">
        <v>494</v>
      </c>
    </row>
    <row r="343" spans="1:10" x14ac:dyDescent="0.3">
      <c r="A343" t="s">
        <v>10</v>
      </c>
      <c r="B343">
        <v>103726.57</v>
      </c>
      <c r="C343">
        <v>90231.74</v>
      </c>
      <c r="D343" s="1">
        <v>43972</v>
      </c>
      <c r="E343" t="s">
        <v>40</v>
      </c>
      <c r="F343" t="s">
        <v>174</v>
      </c>
      <c r="G343" t="s">
        <v>13</v>
      </c>
      <c r="H343" t="s">
        <v>110</v>
      </c>
      <c r="I343" t="s">
        <v>32</v>
      </c>
      <c r="J343" t="s">
        <v>495</v>
      </c>
    </row>
    <row r="344" spans="1:10" x14ac:dyDescent="0.3">
      <c r="A344" t="s">
        <v>17</v>
      </c>
      <c r="B344">
        <v>165262.34</v>
      </c>
      <c r="C344">
        <v>142621.4</v>
      </c>
      <c r="D344" s="1">
        <v>43970</v>
      </c>
      <c r="E344" t="s">
        <v>29</v>
      </c>
      <c r="F344" t="s">
        <v>97</v>
      </c>
      <c r="G344" t="s">
        <v>19</v>
      </c>
      <c r="H344" t="s">
        <v>20</v>
      </c>
      <c r="I344" t="s">
        <v>32</v>
      </c>
      <c r="J344" t="s">
        <v>496</v>
      </c>
    </row>
    <row r="345" spans="1:10" x14ac:dyDescent="0.3">
      <c r="A345" t="s">
        <v>129</v>
      </c>
      <c r="B345">
        <v>72385.53</v>
      </c>
      <c r="C345">
        <v>60181.33</v>
      </c>
      <c r="D345" s="1">
        <v>43747</v>
      </c>
      <c r="E345" t="s">
        <v>40</v>
      </c>
      <c r="F345" t="s">
        <v>56</v>
      </c>
      <c r="G345" t="s">
        <v>130</v>
      </c>
      <c r="H345" t="s">
        <v>159</v>
      </c>
      <c r="I345" t="s">
        <v>27</v>
      </c>
      <c r="J345" t="s">
        <v>497</v>
      </c>
    </row>
    <row r="346" spans="1:10" x14ac:dyDescent="0.3">
      <c r="A346" t="s">
        <v>10</v>
      </c>
      <c r="B346">
        <v>31627.37</v>
      </c>
      <c r="C346">
        <v>25662.45</v>
      </c>
      <c r="D346" s="1">
        <v>44070</v>
      </c>
      <c r="E346" t="s">
        <v>76</v>
      </c>
      <c r="F346" t="s">
        <v>222</v>
      </c>
      <c r="G346" t="s">
        <v>13</v>
      </c>
      <c r="H346" t="s">
        <v>110</v>
      </c>
      <c r="I346" t="s">
        <v>32</v>
      </c>
      <c r="J346" t="s">
        <v>498</v>
      </c>
    </row>
    <row r="347" spans="1:10" x14ac:dyDescent="0.3">
      <c r="A347" t="s">
        <v>17</v>
      </c>
      <c r="B347">
        <v>232217.05</v>
      </c>
      <c r="C347">
        <v>191439.74</v>
      </c>
      <c r="D347" s="1">
        <v>43636</v>
      </c>
      <c r="E347" t="s">
        <v>76</v>
      </c>
      <c r="F347" t="s">
        <v>106</v>
      </c>
      <c r="G347" t="s">
        <v>19</v>
      </c>
      <c r="H347" t="s">
        <v>78</v>
      </c>
      <c r="I347" t="s">
        <v>32</v>
      </c>
      <c r="J347" t="s">
        <v>499</v>
      </c>
    </row>
    <row r="348" spans="1:10" x14ac:dyDescent="0.3">
      <c r="A348" t="s">
        <v>17</v>
      </c>
      <c r="B348">
        <v>99319.33</v>
      </c>
      <c r="C348">
        <v>79127.710000000006</v>
      </c>
      <c r="D348" s="1">
        <v>43977</v>
      </c>
      <c r="E348" t="s">
        <v>11</v>
      </c>
      <c r="F348" t="s">
        <v>106</v>
      </c>
      <c r="G348" t="s">
        <v>19</v>
      </c>
      <c r="H348" t="s">
        <v>20</v>
      </c>
      <c r="I348" t="s">
        <v>27</v>
      </c>
      <c r="J348" t="s">
        <v>500</v>
      </c>
    </row>
    <row r="349" spans="1:10" x14ac:dyDescent="0.3">
      <c r="A349" t="s">
        <v>17</v>
      </c>
      <c r="B349">
        <v>125499.82</v>
      </c>
      <c r="C349">
        <v>100977.16</v>
      </c>
      <c r="D349" s="1">
        <v>43681</v>
      </c>
      <c r="E349" t="s">
        <v>76</v>
      </c>
      <c r="F349" t="s">
        <v>102</v>
      </c>
      <c r="G349" t="s">
        <v>19</v>
      </c>
      <c r="H349" t="s">
        <v>157</v>
      </c>
      <c r="I349" t="s">
        <v>27</v>
      </c>
      <c r="J349" t="s">
        <v>501</v>
      </c>
    </row>
    <row r="350" spans="1:10" x14ac:dyDescent="0.3">
      <c r="A350" t="s">
        <v>17</v>
      </c>
      <c r="B350">
        <v>66884.7</v>
      </c>
      <c r="C350">
        <v>58544.18</v>
      </c>
      <c r="D350" s="1">
        <v>43849</v>
      </c>
      <c r="E350" t="s">
        <v>51</v>
      </c>
      <c r="F350" t="s">
        <v>18</v>
      </c>
      <c r="G350" t="s">
        <v>19</v>
      </c>
      <c r="H350" t="s">
        <v>31</v>
      </c>
      <c r="I350" t="s">
        <v>27</v>
      </c>
      <c r="J350" t="s">
        <v>502</v>
      </c>
    </row>
    <row r="351" spans="1:10" x14ac:dyDescent="0.3">
      <c r="A351" t="s">
        <v>10</v>
      </c>
      <c r="B351">
        <v>20226.11</v>
      </c>
      <c r="C351">
        <v>17408.61</v>
      </c>
      <c r="D351" s="1">
        <v>43519</v>
      </c>
      <c r="E351" t="s">
        <v>29</v>
      </c>
      <c r="F351" t="s">
        <v>244</v>
      </c>
      <c r="G351" t="s">
        <v>13</v>
      </c>
      <c r="H351" t="s">
        <v>110</v>
      </c>
      <c r="I351" t="s">
        <v>27</v>
      </c>
      <c r="J351" t="s">
        <v>503</v>
      </c>
    </row>
    <row r="352" spans="1:10" x14ac:dyDescent="0.3">
      <c r="A352" t="s">
        <v>10</v>
      </c>
      <c r="B352">
        <v>50618.21</v>
      </c>
      <c r="C352">
        <v>41835.949999999997</v>
      </c>
      <c r="D352" s="1">
        <v>43588</v>
      </c>
      <c r="E352" t="s">
        <v>76</v>
      </c>
      <c r="F352" t="s">
        <v>24</v>
      </c>
      <c r="G352" t="s">
        <v>13</v>
      </c>
      <c r="H352" t="s">
        <v>14</v>
      </c>
      <c r="I352" t="s">
        <v>27</v>
      </c>
      <c r="J352" t="s">
        <v>504</v>
      </c>
    </row>
    <row r="353" spans="1:10" x14ac:dyDescent="0.3">
      <c r="A353" t="s">
        <v>10</v>
      </c>
      <c r="B353">
        <v>39313.39</v>
      </c>
      <c r="C353">
        <v>34273.410000000003</v>
      </c>
      <c r="D353" s="1">
        <v>44114</v>
      </c>
      <c r="E353" t="s">
        <v>76</v>
      </c>
      <c r="F353" t="s">
        <v>229</v>
      </c>
      <c r="G353" t="s">
        <v>13</v>
      </c>
      <c r="H353" t="s">
        <v>81</v>
      </c>
      <c r="I353" t="s">
        <v>32</v>
      </c>
      <c r="J353" t="s">
        <v>505</v>
      </c>
    </row>
    <row r="354" spans="1:10" x14ac:dyDescent="0.3">
      <c r="A354" t="s">
        <v>34</v>
      </c>
      <c r="B354">
        <v>146055.04999999999</v>
      </c>
      <c r="C354">
        <v>117822.61</v>
      </c>
      <c r="D354" s="1">
        <v>43656</v>
      </c>
      <c r="E354" t="s">
        <v>40</v>
      </c>
      <c r="F354" t="s">
        <v>302</v>
      </c>
      <c r="G354" t="s">
        <v>36</v>
      </c>
      <c r="H354" t="s">
        <v>104</v>
      </c>
      <c r="I354" t="s">
        <v>15</v>
      </c>
      <c r="J354" t="s">
        <v>506</v>
      </c>
    </row>
    <row r="355" spans="1:10" x14ac:dyDescent="0.3">
      <c r="A355" t="s">
        <v>10</v>
      </c>
      <c r="B355">
        <v>53093.47</v>
      </c>
      <c r="C355">
        <v>42533.18</v>
      </c>
      <c r="D355" s="1">
        <v>44129</v>
      </c>
      <c r="E355" t="s">
        <v>40</v>
      </c>
      <c r="F355" t="s">
        <v>164</v>
      </c>
      <c r="G355" t="s">
        <v>13</v>
      </c>
      <c r="H355" t="s">
        <v>81</v>
      </c>
      <c r="I355" t="s">
        <v>27</v>
      </c>
      <c r="J355" t="s">
        <v>507</v>
      </c>
    </row>
    <row r="356" spans="1:10" x14ac:dyDescent="0.3">
      <c r="A356" t="s">
        <v>17</v>
      </c>
      <c r="B356">
        <v>176190.16</v>
      </c>
      <c r="C356">
        <v>142273.54999999999</v>
      </c>
      <c r="D356" s="1">
        <v>43505</v>
      </c>
      <c r="E356" t="s">
        <v>23</v>
      </c>
      <c r="F356" t="s">
        <v>56</v>
      </c>
      <c r="G356" t="s">
        <v>19</v>
      </c>
      <c r="H356" t="s">
        <v>78</v>
      </c>
      <c r="I356" t="s">
        <v>27</v>
      </c>
      <c r="J356" t="s">
        <v>508</v>
      </c>
    </row>
    <row r="357" spans="1:10" x14ac:dyDescent="0.3">
      <c r="A357" t="s">
        <v>17</v>
      </c>
      <c r="B357">
        <v>64827.8</v>
      </c>
      <c r="C357">
        <v>56043.63</v>
      </c>
      <c r="D357" s="1">
        <v>43485</v>
      </c>
      <c r="E357" t="s">
        <v>23</v>
      </c>
      <c r="F357" t="s">
        <v>335</v>
      </c>
      <c r="G357" t="s">
        <v>19</v>
      </c>
      <c r="H357" t="s">
        <v>78</v>
      </c>
      <c r="I357" t="s">
        <v>27</v>
      </c>
      <c r="J357" t="s">
        <v>509</v>
      </c>
    </row>
    <row r="358" spans="1:10" x14ac:dyDescent="0.3">
      <c r="A358" t="s">
        <v>143</v>
      </c>
      <c r="B358">
        <v>123953.65</v>
      </c>
      <c r="C358">
        <v>101939.48</v>
      </c>
      <c r="D358" s="1">
        <v>43682</v>
      </c>
      <c r="E358" t="s">
        <v>76</v>
      </c>
      <c r="F358" t="s">
        <v>89</v>
      </c>
      <c r="G358" t="s">
        <v>145</v>
      </c>
      <c r="H358" t="s">
        <v>146</v>
      </c>
      <c r="I358" t="s">
        <v>27</v>
      </c>
      <c r="J358" t="s">
        <v>510</v>
      </c>
    </row>
    <row r="359" spans="1:10" x14ac:dyDescent="0.3">
      <c r="A359" t="s">
        <v>22</v>
      </c>
      <c r="B359">
        <v>19622.59</v>
      </c>
      <c r="C359">
        <v>17148.18</v>
      </c>
      <c r="D359" s="1">
        <v>43985</v>
      </c>
      <c r="E359" t="s">
        <v>40</v>
      </c>
      <c r="F359" t="s">
        <v>62</v>
      </c>
      <c r="G359" t="s">
        <v>25</v>
      </c>
      <c r="H359" t="s">
        <v>52</v>
      </c>
      <c r="I359" t="s">
        <v>27</v>
      </c>
      <c r="J359" t="s">
        <v>511</v>
      </c>
    </row>
    <row r="360" spans="1:10" x14ac:dyDescent="0.3">
      <c r="A360" t="s">
        <v>10</v>
      </c>
      <c r="B360">
        <v>146540.75</v>
      </c>
      <c r="C360">
        <v>120822.85</v>
      </c>
      <c r="D360" s="1">
        <v>43585</v>
      </c>
      <c r="E360" t="s">
        <v>51</v>
      </c>
      <c r="F360" t="s">
        <v>135</v>
      </c>
      <c r="G360" t="s">
        <v>13</v>
      </c>
      <c r="H360" t="s">
        <v>81</v>
      </c>
      <c r="I360" t="s">
        <v>27</v>
      </c>
      <c r="J360" t="s">
        <v>512</v>
      </c>
    </row>
    <row r="361" spans="1:10" x14ac:dyDescent="0.3">
      <c r="A361" t="s">
        <v>513</v>
      </c>
      <c r="B361">
        <v>139075.59</v>
      </c>
      <c r="C361">
        <v>113708.2</v>
      </c>
      <c r="D361" s="1">
        <v>44181</v>
      </c>
      <c r="E361" t="s">
        <v>11</v>
      </c>
      <c r="F361" t="s">
        <v>300</v>
      </c>
      <c r="G361" t="s">
        <v>514</v>
      </c>
      <c r="H361" t="s">
        <v>515</v>
      </c>
      <c r="I361" t="s">
        <v>27</v>
      </c>
      <c r="J361" t="s">
        <v>516</v>
      </c>
    </row>
    <row r="362" spans="1:10" x14ac:dyDescent="0.3">
      <c r="A362" t="s">
        <v>17</v>
      </c>
      <c r="B362">
        <v>131864.04</v>
      </c>
      <c r="C362">
        <v>110277.9</v>
      </c>
      <c r="D362" s="1">
        <v>43712</v>
      </c>
      <c r="E362" t="s">
        <v>23</v>
      </c>
      <c r="F362" t="s">
        <v>300</v>
      </c>
      <c r="G362" t="s">
        <v>19</v>
      </c>
      <c r="H362" t="s">
        <v>157</v>
      </c>
      <c r="I362" t="s">
        <v>27</v>
      </c>
      <c r="J362" t="s">
        <v>517</v>
      </c>
    </row>
    <row r="363" spans="1:10" x14ac:dyDescent="0.3">
      <c r="A363" t="s">
        <v>129</v>
      </c>
      <c r="B363">
        <v>130251.55</v>
      </c>
      <c r="C363">
        <v>105386.53</v>
      </c>
      <c r="D363" s="1">
        <v>43593</v>
      </c>
      <c r="E363" t="s">
        <v>76</v>
      </c>
      <c r="F363" t="s">
        <v>56</v>
      </c>
      <c r="G363" t="s">
        <v>130</v>
      </c>
      <c r="H363" t="s">
        <v>131</v>
      </c>
      <c r="I363" t="s">
        <v>27</v>
      </c>
      <c r="J363" t="s">
        <v>518</v>
      </c>
    </row>
    <row r="364" spans="1:10" x14ac:dyDescent="0.3">
      <c r="A364" t="s">
        <v>22</v>
      </c>
      <c r="B364">
        <v>38930.160000000003</v>
      </c>
      <c r="C364">
        <v>32837.589999999997</v>
      </c>
      <c r="D364" s="1">
        <v>44153</v>
      </c>
      <c r="E364" t="s">
        <v>181</v>
      </c>
      <c r="F364" t="s">
        <v>102</v>
      </c>
      <c r="G364" t="s">
        <v>25</v>
      </c>
      <c r="H364" t="s">
        <v>87</v>
      </c>
      <c r="I364" t="s">
        <v>27</v>
      </c>
      <c r="J364" t="s">
        <v>519</v>
      </c>
    </row>
    <row r="365" spans="1:10" x14ac:dyDescent="0.3">
      <c r="A365" t="s">
        <v>17</v>
      </c>
      <c r="B365">
        <v>219911.81</v>
      </c>
      <c r="C365">
        <v>179426.05</v>
      </c>
      <c r="D365" s="1">
        <v>43592</v>
      </c>
      <c r="E365" t="s">
        <v>40</v>
      </c>
      <c r="F365" t="s">
        <v>195</v>
      </c>
      <c r="G365" t="s">
        <v>19</v>
      </c>
      <c r="H365" t="s">
        <v>31</v>
      </c>
      <c r="I365" t="s">
        <v>27</v>
      </c>
      <c r="J365" t="s">
        <v>520</v>
      </c>
    </row>
    <row r="366" spans="1:10" x14ac:dyDescent="0.3">
      <c r="A366" t="s">
        <v>34</v>
      </c>
      <c r="B366">
        <v>49930.87</v>
      </c>
      <c r="C366">
        <v>40174.379999999997</v>
      </c>
      <c r="D366" s="1">
        <v>43882</v>
      </c>
      <c r="E366" t="s">
        <v>181</v>
      </c>
      <c r="F366" t="s">
        <v>41</v>
      </c>
      <c r="G366" t="s">
        <v>36</v>
      </c>
      <c r="H366" t="s">
        <v>37</v>
      </c>
      <c r="I366" t="s">
        <v>27</v>
      </c>
      <c r="J366" t="s">
        <v>521</v>
      </c>
    </row>
    <row r="367" spans="1:10" x14ac:dyDescent="0.3">
      <c r="A367" t="s">
        <v>22</v>
      </c>
      <c r="B367">
        <v>57859.08</v>
      </c>
      <c r="C367">
        <v>47756.88</v>
      </c>
      <c r="D367" s="1">
        <v>43689</v>
      </c>
      <c r="E367" t="s">
        <v>91</v>
      </c>
      <c r="F367" t="s">
        <v>106</v>
      </c>
      <c r="G367" t="s">
        <v>25</v>
      </c>
      <c r="H367" t="s">
        <v>52</v>
      </c>
      <c r="I367" t="s">
        <v>32</v>
      </c>
      <c r="J367" t="s">
        <v>522</v>
      </c>
    </row>
    <row r="368" spans="1:10" x14ac:dyDescent="0.3">
      <c r="A368" t="s">
        <v>169</v>
      </c>
      <c r="B368">
        <v>26745.94</v>
      </c>
      <c r="C368">
        <v>22600.32</v>
      </c>
      <c r="D368" s="1">
        <v>43749</v>
      </c>
      <c r="E368" t="s">
        <v>23</v>
      </c>
      <c r="F368" t="s">
        <v>244</v>
      </c>
      <c r="G368" t="s">
        <v>171</v>
      </c>
      <c r="H368" t="s">
        <v>172</v>
      </c>
      <c r="I368" t="s">
        <v>27</v>
      </c>
      <c r="J368" t="s">
        <v>523</v>
      </c>
    </row>
    <row r="369" spans="1:10" x14ac:dyDescent="0.3">
      <c r="A369" t="s">
        <v>143</v>
      </c>
      <c r="B369">
        <v>87205.01</v>
      </c>
      <c r="C369">
        <v>69171.009999999995</v>
      </c>
      <c r="D369" s="1">
        <v>44000</v>
      </c>
      <c r="E369" t="s">
        <v>11</v>
      </c>
      <c r="F369" t="s">
        <v>56</v>
      </c>
      <c r="G369" t="s">
        <v>145</v>
      </c>
      <c r="H369" t="s">
        <v>262</v>
      </c>
      <c r="I369" t="s">
        <v>15</v>
      </c>
      <c r="J369" t="s">
        <v>524</v>
      </c>
    </row>
    <row r="370" spans="1:10" x14ac:dyDescent="0.3">
      <c r="A370" t="s">
        <v>22</v>
      </c>
      <c r="B370">
        <v>216863.04</v>
      </c>
      <c r="C370">
        <v>175355.45</v>
      </c>
      <c r="D370" s="1">
        <v>43670</v>
      </c>
      <c r="E370" t="s">
        <v>76</v>
      </c>
      <c r="F370" t="s">
        <v>92</v>
      </c>
      <c r="G370" t="s">
        <v>25</v>
      </c>
      <c r="H370" t="s">
        <v>26</v>
      </c>
      <c r="I370" t="s">
        <v>15</v>
      </c>
      <c r="J370" t="s">
        <v>525</v>
      </c>
    </row>
    <row r="371" spans="1:10" x14ac:dyDescent="0.3">
      <c r="A371" t="s">
        <v>22</v>
      </c>
      <c r="B371">
        <v>154858</v>
      </c>
      <c r="C371">
        <v>135376.85999999999</v>
      </c>
      <c r="D371" s="1">
        <v>44034</v>
      </c>
      <c r="E371" t="s">
        <v>11</v>
      </c>
      <c r="F371" t="s">
        <v>92</v>
      </c>
      <c r="G371" t="s">
        <v>25</v>
      </c>
      <c r="H371" t="s">
        <v>167</v>
      </c>
      <c r="I371" t="s">
        <v>27</v>
      </c>
      <c r="J371" t="s">
        <v>526</v>
      </c>
    </row>
    <row r="372" spans="1:10" x14ac:dyDescent="0.3">
      <c r="A372" t="s">
        <v>151</v>
      </c>
      <c r="B372">
        <v>167301.51999999999</v>
      </c>
      <c r="C372">
        <v>147074.76999999999</v>
      </c>
      <c r="D372" s="1">
        <v>43621</v>
      </c>
      <c r="E372" t="s">
        <v>181</v>
      </c>
      <c r="F372" t="s">
        <v>222</v>
      </c>
      <c r="G372" t="s">
        <v>152</v>
      </c>
      <c r="H372" t="s">
        <v>197</v>
      </c>
      <c r="I372" t="s">
        <v>27</v>
      </c>
      <c r="J372" t="s">
        <v>527</v>
      </c>
    </row>
    <row r="373" spans="1:10" x14ac:dyDescent="0.3">
      <c r="A373" t="s">
        <v>17</v>
      </c>
      <c r="B373">
        <v>38750.53</v>
      </c>
      <c r="C373">
        <v>31298.799999999999</v>
      </c>
      <c r="D373" s="1">
        <v>43474</v>
      </c>
      <c r="E373" t="s">
        <v>181</v>
      </c>
      <c r="F373" t="s">
        <v>56</v>
      </c>
      <c r="G373" t="s">
        <v>19</v>
      </c>
      <c r="H373" t="s">
        <v>20</v>
      </c>
      <c r="I373" t="s">
        <v>27</v>
      </c>
      <c r="J373" t="s">
        <v>528</v>
      </c>
    </row>
    <row r="374" spans="1:10" x14ac:dyDescent="0.3">
      <c r="A374" t="s">
        <v>129</v>
      </c>
      <c r="B374">
        <v>145809.65</v>
      </c>
      <c r="C374">
        <v>123136.25</v>
      </c>
      <c r="D374" s="1">
        <v>43676</v>
      </c>
      <c r="E374" t="s">
        <v>23</v>
      </c>
      <c r="F374" t="s">
        <v>67</v>
      </c>
      <c r="G374" t="s">
        <v>130</v>
      </c>
      <c r="H374" t="s">
        <v>131</v>
      </c>
      <c r="I374" t="s">
        <v>27</v>
      </c>
      <c r="J374" t="s">
        <v>529</v>
      </c>
    </row>
    <row r="375" spans="1:10" x14ac:dyDescent="0.3">
      <c r="A375" t="s">
        <v>54</v>
      </c>
      <c r="B375">
        <v>161823.46</v>
      </c>
      <c r="C375">
        <v>130494.44</v>
      </c>
      <c r="D375" s="1">
        <v>44032</v>
      </c>
      <c r="E375" t="s">
        <v>40</v>
      </c>
      <c r="F375" t="s">
        <v>74</v>
      </c>
      <c r="G375" t="s">
        <v>57</v>
      </c>
      <c r="H375" t="s">
        <v>58</v>
      </c>
      <c r="I375" t="s">
        <v>27</v>
      </c>
      <c r="J375" t="s">
        <v>530</v>
      </c>
    </row>
    <row r="376" spans="1:10" x14ac:dyDescent="0.3">
      <c r="A376" t="s">
        <v>66</v>
      </c>
      <c r="B376">
        <v>175332.04</v>
      </c>
      <c r="C376">
        <v>144999.6</v>
      </c>
      <c r="D376" s="1">
        <v>44098</v>
      </c>
      <c r="E376" t="s">
        <v>55</v>
      </c>
      <c r="F376" t="s">
        <v>24</v>
      </c>
      <c r="G376" t="s">
        <v>68</v>
      </c>
      <c r="H376" t="s">
        <v>69</v>
      </c>
      <c r="I376" t="s">
        <v>27</v>
      </c>
      <c r="J376" t="s">
        <v>531</v>
      </c>
    </row>
    <row r="377" spans="1:10" x14ac:dyDescent="0.3">
      <c r="A377" t="s">
        <v>10</v>
      </c>
      <c r="B377">
        <v>97148.34</v>
      </c>
      <c r="C377">
        <v>77806.11</v>
      </c>
      <c r="D377" s="1">
        <v>43950</v>
      </c>
      <c r="E377" t="s">
        <v>91</v>
      </c>
      <c r="F377" t="s">
        <v>45</v>
      </c>
      <c r="G377" t="s">
        <v>13</v>
      </c>
      <c r="H377" t="s">
        <v>14</v>
      </c>
      <c r="I377" t="s">
        <v>27</v>
      </c>
      <c r="J377" t="s">
        <v>532</v>
      </c>
    </row>
    <row r="378" spans="1:10" x14ac:dyDescent="0.3">
      <c r="A378" t="s">
        <v>10</v>
      </c>
      <c r="B378">
        <v>146226.35999999999</v>
      </c>
      <c r="C378">
        <v>117916.94</v>
      </c>
      <c r="D378" s="1">
        <v>44122</v>
      </c>
      <c r="E378" t="s">
        <v>51</v>
      </c>
      <c r="F378" t="s">
        <v>400</v>
      </c>
      <c r="G378" t="s">
        <v>13</v>
      </c>
      <c r="H378" t="s">
        <v>46</v>
      </c>
      <c r="I378" t="s">
        <v>27</v>
      </c>
      <c r="J378" t="s">
        <v>533</v>
      </c>
    </row>
    <row r="379" spans="1:10" x14ac:dyDescent="0.3">
      <c r="A379" t="s">
        <v>22</v>
      </c>
      <c r="B379">
        <v>139200.81</v>
      </c>
      <c r="C379">
        <v>120172.06</v>
      </c>
      <c r="D379" s="1">
        <v>43700</v>
      </c>
      <c r="E379" t="s">
        <v>11</v>
      </c>
      <c r="F379" t="s">
        <v>56</v>
      </c>
      <c r="G379" t="s">
        <v>25</v>
      </c>
      <c r="H379" t="s">
        <v>87</v>
      </c>
      <c r="I379" t="s">
        <v>27</v>
      </c>
      <c r="J379" t="s">
        <v>534</v>
      </c>
    </row>
    <row r="380" spans="1:10" x14ac:dyDescent="0.3">
      <c r="A380" t="s">
        <v>143</v>
      </c>
      <c r="B380">
        <v>84900.24</v>
      </c>
      <c r="C380">
        <v>73701.899999999994</v>
      </c>
      <c r="D380" s="1">
        <v>44026</v>
      </c>
      <c r="E380" t="s">
        <v>40</v>
      </c>
      <c r="F380" t="s">
        <v>400</v>
      </c>
      <c r="G380" t="s">
        <v>145</v>
      </c>
      <c r="H380" t="s">
        <v>146</v>
      </c>
      <c r="I380" t="s">
        <v>27</v>
      </c>
      <c r="J380" t="s">
        <v>535</v>
      </c>
    </row>
    <row r="381" spans="1:10" x14ac:dyDescent="0.3">
      <c r="A381" t="s">
        <v>10</v>
      </c>
      <c r="B381">
        <v>138443.23000000001</v>
      </c>
      <c r="C381">
        <v>115101.7</v>
      </c>
      <c r="D381" s="1">
        <v>43630</v>
      </c>
      <c r="E381" t="s">
        <v>40</v>
      </c>
      <c r="F381" t="s">
        <v>170</v>
      </c>
      <c r="G381" t="s">
        <v>13</v>
      </c>
      <c r="H381" t="s">
        <v>46</v>
      </c>
      <c r="I381" t="s">
        <v>32</v>
      </c>
      <c r="J381" t="s">
        <v>536</v>
      </c>
    </row>
    <row r="382" spans="1:10" x14ac:dyDescent="0.3">
      <c r="A382" t="s">
        <v>216</v>
      </c>
      <c r="B382">
        <v>62708.6</v>
      </c>
      <c r="C382">
        <v>51414.78</v>
      </c>
      <c r="D382" s="1">
        <v>43706</v>
      </c>
      <c r="E382" t="s">
        <v>51</v>
      </c>
      <c r="F382" t="s">
        <v>71</v>
      </c>
      <c r="G382" t="s">
        <v>217</v>
      </c>
      <c r="H382" t="s">
        <v>218</v>
      </c>
      <c r="I382" t="s">
        <v>27</v>
      </c>
      <c r="J382" t="s">
        <v>537</v>
      </c>
    </row>
    <row r="383" spans="1:10" x14ac:dyDescent="0.3">
      <c r="A383" t="s">
        <v>22</v>
      </c>
      <c r="B383">
        <v>134807.18</v>
      </c>
      <c r="C383">
        <v>108047.95</v>
      </c>
      <c r="D383" s="1">
        <v>44194</v>
      </c>
      <c r="E383" t="s">
        <v>76</v>
      </c>
      <c r="F383" t="s">
        <v>109</v>
      </c>
      <c r="G383" t="s">
        <v>25</v>
      </c>
      <c r="H383" t="s">
        <v>26</v>
      </c>
      <c r="I383" t="s">
        <v>27</v>
      </c>
      <c r="J383" t="s">
        <v>538</v>
      </c>
    </row>
    <row r="384" spans="1:10" x14ac:dyDescent="0.3">
      <c r="A384" t="s">
        <v>22</v>
      </c>
      <c r="B384">
        <v>108689.45</v>
      </c>
      <c r="C384">
        <v>91223.06</v>
      </c>
      <c r="D384" s="1">
        <v>43719</v>
      </c>
      <c r="E384" t="s">
        <v>23</v>
      </c>
      <c r="F384" t="s">
        <v>373</v>
      </c>
      <c r="G384" t="s">
        <v>25</v>
      </c>
      <c r="H384" t="s">
        <v>87</v>
      </c>
      <c r="I384" t="s">
        <v>32</v>
      </c>
      <c r="J384" t="s">
        <v>539</v>
      </c>
    </row>
    <row r="385" spans="1:10" x14ac:dyDescent="0.3">
      <c r="A385" t="s">
        <v>34</v>
      </c>
      <c r="C385">
        <v>52811.83</v>
      </c>
      <c r="D385" s="1">
        <v>43519</v>
      </c>
      <c r="E385" t="s">
        <v>51</v>
      </c>
      <c r="F385" t="s">
        <v>335</v>
      </c>
      <c r="G385" t="s">
        <v>36</v>
      </c>
      <c r="H385" t="s">
        <v>104</v>
      </c>
      <c r="I385" t="s">
        <v>27</v>
      </c>
      <c r="J385" t="s">
        <v>540</v>
      </c>
    </row>
    <row r="386" spans="1:10" x14ac:dyDescent="0.3">
      <c r="A386" t="s">
        <v>22</v>
      </c>
      <c r="B386">
        <v>111551.96</v>
      </c>
      <c r="C386">
        <v>89420.05</v>
      </c>
      <c r="D386" s="1">
        <v>43983</v>
      </c>
      <c r="E386" t="s">
        <v>40</v>
      </c>
      <c r="F386" t="s">
        <v>269</v>
      </c>
      <c r="G386" t="s">
        <v>25</v>
      </c>
      <c r="H386" t="s">
        <v>52</v>
      </c>
      <c r="I386" t="s">
        <v>27</v>
      </c>
      <c r="J386" t="s">
        <v>541</v>
      </c>
    </row>
    <row r="387" spans="1:10" x14ac:dyDescent="0.3">
      <c r="A387" t="s">
        <v>17</v>
      </c>
      <c r="B387">
        <v>89930.18</v>
      </c>
      <c r="C387">
        <v>78005.440000000002</v>
      </c>
      <c r="D387" s="1">
        <v>43916</v>
      </c>
      <c r="E387" t="s">
        <v>99</v>
      </c>
      <c r="F387" t="s">
        <v>106</v>
      </c>
      <c r="G387" t="s">
        <v>19</v>
      </c>
      <c r="H387" t="s">
        <v>78</v>
      </c>
      <c r="I387" t="s">
        <v>27</v>
      </c>
      <c r="J387" t="s">
        <v>542</v>
      </c>
    </row>
    <row r="388" spans="1:10" x14ac:dyDescent="0.3">
      <c r="A388" t="s">
        <v>216</v>
      </c>
      <c r="B388">
        <v>50241.47</v>
      </c>
      <c r="C388">
        <v>43443.8</v>
      </c>
      <c r="D388" s="1">
        <v>44121</v>
      </c>
      <c r="E388" t="s">
        <v>91</v>
      </c>
      <c r="F388" t="s">
        <v>308</v>
      </c>
      <c r="G388" t="s">
        <v>217</v>
      </c>
      <c r="H388" t="s">
        <v>218</v>
      </c>
      <c r="I388" t="s">
        <v>15</v>
      </c>
      <c r="J388" t="s">
        <v>543</v>
      </c>
    </row>
    <row r="389" spans="1:10" x14ac:dyDescent="0.3">
      <c r="A389" t="s">
        <v>151</v>
      </c>
      <c r="B389">
        <v>76767.77</v>
      </c>
      <c r="C389">
        <v>64500.28</v>
      </c>
      <c r="D389" s="1">
        <v>43852</v>
      </c>
      <c r="E389" t="s">
        <v>11</v>
      </c>
      <c r="F389" t="s">
        <v>102</v>
      </c>
      <c r="G389" t="s">
        <v>152</v>
      </c>
      <c r="H389" t="s">
        <v>197</v>
      </c>
      <c r="I389" t="s">
        <v>27</v>
      </c>
      <c r="J389" t="s">
        <v>544</v>
      </c>
    </row>
    <row r="390" spans="1:10" x14ac:dyDescent="0.3">
      <c r="A390" t="s">
        <v>22</v>
      </c>
      <c r="B390">
        <v>60744.83</v>
      </c>
      <c r="C390">
        <v>52805.48</v>
      </c>
      <c r="D390" s="1">
        <v>43909</v>
      </c>
      <c r="E390" t="s">
        <v>51</v>
      </c>
      <c r="F390" t="s">
        <v>335</v>
      </c>
      <c r="G390" t="s">
        <v>25</v>
      </c>
      <c r="H390" t="s">
        <v>87</v>
      </c>
      <c r="I390" t="s">
        <v>27</v>
      </c>
      <c r="J390" t="s">
        <v>545</v>
      </c>
    </row>
    <row r="391" spans="1:10" x14ac:dyDescent="0.3">
      <c r="A391" t="s">
        <v>17</v>
      </c>
      <c r="B391">
        <v>122468.33</v>
      </c>
      <c r="C391">
        <v>103032.61</v>
      </c>
      <c r="D391" s="1">
        <v>44052</v>
      </c>
      <c r="E391" t="s">
        <v>29</v>
      </c>
      <c r="F391" t="s">
        <v>56</v>
      </c>
      <c r="G391" t="s">
        <v>19</v>
      </c>
      <c r="H391" t="s">
        <v>49</v>
      </c>
      <c r="I391" t="s">
        <v>32</v>
      </c>
      <c r="J391" t="s">
        <v>546</v>
      </c>
    </row>
    <row r="392" spans="1:10" x14ac:dyDescent="0.3">
      <c r="A392" t="s">
        <v>22</v>
      </c>
      <c r="B392">
        <v>74958.460000000006</v>
      </c>
      <c r="C392">
        <v>65806.03</v>
      </c>
      <c r="D392" s="1">
        <v>43959</v>
      </c>
      <c r="E392" t="s">
        <v>29</v>
      </c>
      <c r="F392" t="s">
        <v>106</v>
      </c>
      <c r="G392" t="s">
        <v>25</v>
      </c>
      <c r="H392" t="s">
        <v>167</v>
      </c>
      <c r="I392" t="s">
        <v>27</v>
      </c>
      <c r="J392" t="s">
        <v>547</v>
      </c>
    </row>
    <row r="393" spans="1:10" x14ac:dyDescent="0.3">
      <c r="A393" t="s">
        <v>17</v>
      </c>
      <c r="B393">
        <v>66678.38</v>
      </c>
      <c r="C393">
        <v>53009.31</v>
      </c>
      <c r="D393" s="1">
        <v>43558</v>
      </c>
      <c r="E393" t="s">
        <v>51</v>
      </c>
      <c r="F393" t="s">
        <v>373</v>
      </c>
      <c r="G393" t="s">
        <v>19</v>
      </c>
      <c r="H393" t="s">
        <v>20</v>
      </c>
      <c r="I393" t="s">
        <v>27</v>
      </c>
      <c r="J393" t="s">
        <v>548</v>
      </c>
    </row>
    <row r="394" spans="1:10" x14ac:dyDescent="0.3">
      <c r="A394" t="s">
        <v>17</v>
      </c>
      <c r="B394">
        <v>56106.13</v>
      </c>
      <c r="C394">
        <v>45081.27</v>
      </c>
      <c r="D394" s="1">
        <v>44168</v>
      </c>
      <c r="E394" t="s">
        <v>29</v>
      </c>
      <c r="F394" t="s">
        <v>149</v>
      </c>
      <c r="G394" t="s">
        <v>19</v>
      </c>
      <c r="H394" t="s">
        <v>20</v>
      </c>
      <c r="I394" t="s">
        <v>27</v>
      </c>
      <c r="J394" t="s">
        <v>549</v>
      </c>
    </row>
    <row r="395" spans="1:10" x14ac:dyDescent="0.3">
      <c r="A395" t="s">
        <v>10</v>
      </c>
      <c r="B395">
        <v>64842.92</v>
      </c>
      <c r="C395">
        <v>56439.28</v>
      </c>
      <c r="D395" s="1">
        <v>43737</v>
      </c>
      <c r="E395" t="s">
        <v>23</v>
      </c>
      <c r="F395" t="s">
        <v>244</v>
      </c>
      <c r="G395" t="s">
        <v>13</v>
      </c>
      <c r="H395" t="s">
        <v>46</v>
      </c>
      <c r="I395" t="s">
        <v>32</v>
      </c>
      <c r="J395" t="s">
        <v>550</v>
      </c>
    </row>
    <row r="396" spans="1:10" x14ac:dyDescent="0.3">
      <c r="A396" t="s">
        <v>17</v>
      </c>
      <c r="B396">
        <v>45481.24</v>
      </c>
      <c r="C396">
        <v>37317.360000000001</v>
      </c>
      <c r="D396" s="1">
        <v>43763</v>
      </c>
      <c r="E396" t="s">
        <v>51</v>
      </c>
      <c r="F396" t="s">
        <v>89</v>
      </c>
      <c r="G396" t="s">
        <v>19</v>
      </c>
      <c r="H396" t="s">
        <v>31</v>
      </c>
      <c r="I396" t="s">
        <v>27</v>
      </c>
      <c r="J396" t="s">
        <v>551</v>
      </c>
    </row>
    <row r="397" spans="1:10" x14ac:dyDescent="0.3">
      <c r="A397" t="s">
        <v>129</v>
      </c>
      <c r="B397">
        <v>107271.94</v>
      </c>
      <c r="C397">
        <v>86665</v>
      </c>
      <c r="D397" s="1">
        <v>44066</v>
      </c>
      <c r="E397" t="s">
        <v>11</v>
      </c>
      <c r="F397" t="s">
        <v>56</v>
      </c>
      <c r="G397" t="s">
        <v>130</v>
      </c>
      <c r="H397" t="s">
        <v>159</v>
      </c>
      <c r="I397" t="s">
        <v>27</v>
      </c>
      <c r="J397" t="s">
        <v>552</v>
      </c>
    </row>
    <row r="398" spans="1:10" x14ac:dyDescent="0.3">
      <c r="A398" t="s">
        <v>22</v>
      </c>
      <c r="B398">
        <v>42847.46</v>
      </c>
      <c r="C398">
        <v>34757.86</v>
      </c>
      <c r="D398" s="1">
        <v>44126</v>
      </c>
      <c r="E398" t="s">
        <v>55</v>
      </c>
      <c r="F398" t="s">
        <v>113</v>
      </c>
      <c r="G398" t="s">
        <v>25</v>
      </c>
      <c r="H398" t="s">
        <v>52</v>
      </c>
      <c r="I398" t="s">
        <v>27</v>
      </c>
      <c r="J398" t="s">
        <v>553</v>
      </c>
    </row>
    <row r="399" spans="1:10" x14ac:dyDescent="0.3">
      <c r="A399" t="s">
        <v>10</v>
      </c>
      <c r="B399">
        <v>108978.79</v>
      </c>
      <c r="C399">
        <v>95432.73</v>
      </c>
      <c r="D399" s="1">
        <v>43797</v>
      </c>
      <c r="E399" t="s">
        <v>11</v>
      </c>
      <c r="F399" t="s">
        <v>144</v>
      </c>
      <c r="G399" t="s">
        <v>13</v>
      </c>
      <c r="H399" t="s">
        <v>72</v>
      </c>
      <c r="I399" t="s">
        <v>27</v>
      </c>
      <c r="J399" t="s">
        <v>554</v>
      </c>
    </row>
    <row r="400" spans="1:10" x14ac:dyDescent="0.3">
      <c r="A400" t="s">
        <v>17</v>
      </c>
      <c r="B400">
        <v>133905.54999999999</v>
      </c>
      <c r="C400">
        <v>116886.15</v>
      </c>
      <c r="D400" s="1">
        <v>43838</v>
      </c>
      <c r="E400" t="s">
        <v>91</v>
      </c>
      <c r="F400" t="s">
        <v>214</v>
      </c>
      <c r="G400" t="s">
        <v>19</v>
      </c>
      <c r="H400" t="s">
        <v>49</v>
      </c>
      <c r="I400" t="s">
        <v>32</v>
      </c>
      <c r="J400" t="s">
        <v>555</v>
      </c>
    </row>
    <row r="401" spans="1:10" x14ac:dyDescent="0.3">
      <c r="A401" t="s">
        <v>34</v>
      </c>
      <c r="B401">
        <v>65014.84</v>
      </c>
      <c r="C401">
        <v>53669.75</v>
      </c>
      <c r="D401" s="1">
        <v>43917</v>
      </c>
      <c r="E401" t="s">
        <v>181</v>
      </c>
      <c r="F401" t="s">
        <v>92</v>
      </c>
      <c r="G401" t="s">
        <v>36</v>
      </c>
      <c r="H401" t="s">
        <v>37</v>
      </c>
      <c r="I401" t="s">
        <v>32</v>
      </c>
      <c r="J401" t="s">
        <v>556</v>
      </c>
    </row>
    <row r="402" spans="1:10" x14ac:dyDescent="0.3">
      <c r="A402" t="s">
        <v>10</v>
      </c>
      <c r="B402">
        <v>113763.38</v>
      </c>
      <c r="C402">
        <v>91158.6</v>
      </c>
      <c r="D402" s="1">
        <v>43834</v>
      </c>
      <c r="E402" t="s">
        <v>91</v>
      </c>
      <c r="F402" t="s">
        <v>222</v>
      </c>
      <c r="G402" t="s">
        <v>13</v>
      </c>
      <c r="H402" t="s">
        <v>72</v>
      </c>
      <c r="I402" t="s">
        <v>27</v>
      </c>
      <c r="J402" t="s">
        <v>557</v>
      </c>
    </row>
    <row r="403" spans="1:10" x14ac:dyDescent="0.3">
      <c r="A403" t="s">
        <v>66</v>
      </c>
      <c r="B403">
        <v>294874.74</v>
      </c>
      <c r="C403">
        <v>259106.43</v>
      </c>
      <c r="D403" s="1">
        <v>44180</v>
      </c>
      <c r="E403" t="s">
        <v>91</v>
      </c>
      <c r="F403" t="s">
        <v>113</v>
      </c>
      <c r="G403" t="s">
        <v>68</v>
      </c>
      <c r="H403" t="s">
        <v>69</v>
      </c>
      <c r="I403" t="s">
        <v>27</v>
      </c>
      <c r="J403" t="s">
        <v>558</v>
      </c>
    </row>
    <row r="404" spans="1:10" x14ac:dyDescent="0.3">
      <c r="A404" t="s">
        <v>10</v>
      </c>
      <c r="B404">
        <v>73860.570000000007</v>
      </c>
      <c r="C404">
        <v>60336.7</v>
      </c>
      <c r="D404" s="1">
        <v>44148</v>
      </c>
      <c r="E404" t="s">
        <v>40</v>
      </c>
      <c r="F404" t="s">
        <v>211</v>
      </c>
      <c r="G404" t="s">
        <v>13</v>
      </c>
      <c r="H404" t="s">
        <v>72</v>
      </c>
      <c r="I404" t="s">
        <v>27</v>
      </c>
      <c r="J404" t="s">
        <v>559</v>
      </c>
    </row>
    <row r="405" spans="1:10" x14ac:dyDescent="0.3">
      <c r="A405" t="s">
        <v>66</v>
      </c>
      <c r="B405">
        <v>182852.21</v>
      </c>
      <c r="C405">
        <v>145440.65</v>
      </c>
      <c r="D405" s="1">
        <v>43827</v>
      </c>
      <c r="E405" t="s">
        <v>181</v>
      </c>
      <c r="F405" t="s">
        <v>56</v>
      </c>
      <c r="G405" t="s">
        <v>68</v>
      </c>
      <c r="H405" t="s">
        <v>69</v>
      </c>
      <c r="I405" t="s">
        <v>27</v>
      </c>
      <c r="J405" t="s">
        <v>560</v>
      </c>
    </row>
    <row r="406" spans="1:10" x14ac:dyDescent="0.3">
      <c r="A406" t="s">
        <v>54</v>
      </c>
      <c r="B406">
        <v>163546.81</v>
      </c>
      <c r="C406">
        <v>133307</v>
      </c>
      <c r="D406" s="1">
        <v>43651</v>
      </c>
      <c r="E406" t="s">
        <v>29</v>
      </c>
      <c r="F406" t="s">
        <v>83</v>
      </c>
      <c r="G406" t="s">
        <v>57</v>
      </c>
      <c r="H406" t="s">
        <v>58</v>
      </c>
      <c r="I406" t="s">
        <v>27</v>
      </c>
      <c r="J406" t="s">
        <v>561</v>
      </c>
    </row>
    <row r="407" spans="1:10" x14ac:dyDescent="0.3">
      <c r="A407" t="s">
        <v>34</v>
      </c>
      <c r="B407">
        <v>56768.43</v>
      </c>
      <c r="C407">
        <v>47384.61</v>
      </c>
      <c r="D407" s="1">
        <v>43577</v>
      </c>
      <c r="E407" t="s">
        <v>11</v>
      </c>
      <c r="F407" t="s">
        <v>80</v>
      </c>
      <c r="G407" t="s">
        <v>36</v>
      </c>
      <c r="H407" t="s">
        <v>104</v>
      </c>
      <c r="I407" t="s">
        <v>27</v>
      </c>
      <c r="J407" t="s">
        <v>562</v>
      </c>
    </row>
    <row r="408" spans="1:10" x14ac:dyDescent="0.3">
      <c r="A408" t="s">
        <v>22</v>
      </c>
      <c r="B408">
        <v>143107.89000000001</v>
      </c>
      <c r="C408">
        <v>121241</v>
      </c>
      <c r="D408" s="1">
        <v>43872</v>
      </c>
      <c r="E408" t="s">
        <v>29</v>
      </c>
      <c r="F408" t="s">
        <v>30</v>
      </c>
      <c r="G408" t="s">
        <v>25</v>
      </c>
      <c r="H408" t="s">
        <v>63</v>
      </c>
      <c r="I408" t="s">
        <v>32</v>
      </c>
      <c r="J408" t="s">
        <v>563</v>
      </c>
    </row>
    <row r="409" spans="1:10" x14ac:dyDescent="0.3">
      <c r="A409" t="s">
        <v>10</v>
      </c>
      <c r="B409">
        <v>115339.49</v>
      </c>
      <c r="C409">
        <v>100691.37</v>
      </c>
      <c r="D409" s="1">
        <v>43533</v>
      </c>
      <c r="E409" t="s">
        <v>181</v>
      </c>
      <c r="F409" t="s">
        <v>400</v>
      </c>
      <c r="G409" t="s">
        <v>13</v>
      </c>
      <c r="H409" t="s">
        <v>72</v>
      </c>
      <c r="I409" t="s">
        <v>32</v>
      </c>
      <c r="J409" t="s">
        <v>564</v>
      </c>
    </row>
    <row r="410" spans="1:10" x14ac:dyDescent="0.3">
      <c r="A410" t="s">
        <v>151</v>
      </c>
      <c r="B410">
        <v>117358.02</v>
      </c>
      <c r="C410">
        <v>102664.8</v>
      </c>
      <c r="D410" s="1">
        <v>43872</v>
      </c>
      <c r="E410" t="s">
        <v>40</v>
      </c>
      <c r="F410" t="s">
        <v>272</v>
      </c>
      <c r="G410" t="s">
        <v>152</v>
      </c>
      <c r="H410" t="s">
        <v>153</v>
      </c>
      <c r="I410" t="s">
        <v>27</v>
      </c>
      <c r="J410" t="s">
        <v>565</v>
      </c>
    </row>
    <row r="411" spans="1:10" x14ac:dyDescent="0.3">
      <c r="A411" t="s">
        <v>10</v>
      </c>
      <c r="B411">
        <v>54446.5</v>
      </c>
      <c r="C411">
        <v>44989.14</v>
      </c>
      <c r="D411" s="1">
        <v>44077</v>
      </c>
      <c r="E411" t="s">
        <v>23</v>
      </c>
      <c r="F411" t="s">
        <v>269</v>
      </c>
      <c r="G411" t="s">
        <v>13</v>
      </c>
      <c r="H411" t="s">
        <v>46</v>
      </c>
      <c r="I411" t="s">
        <v>15</v>
      </c>
      <c r="J411" t="s">
        <v>566</v>
      </c>
    </row>
    <row r="412" spans="1:10" x14ac:dyDescent="0.3">
      <c r="A412" t="s">
        <v>216</v>
      </c>
      <c r="B412">
        <v>152771.9</v>
      </c>
      <c r="C412">
        <v>134423.99</v>
      </c>
      <c r="D412" s="1">
        <v>43866</v>
      </c>
      <c r="E412" t="s">
        <v>40</v>
      </c>
      <c r="F412" t="s">
        <v>367</v>
      </c>
      <c r="G412" t="s">
        <v>217</v>
      </c>
      <c r="H412" t="s">
        <v>218</v>
      </c>
      <c r="I412" t="s">
        <v>27</v>
      </c>
      <c r="J412" t="s">
        <v>567</v>
      </c>
    </row>
    <row r="413" spans="1:10" x14ac:dyDescent="0.3">
      <c r="A413" t="s">
        <v>22</v>
      </c>
      <c r="B413">
        <v>211872.69</v>
      </c>
      <c r="C413">
        <v>177930.69</v>
      </c>
      <c r="D413" s="1">
        <v>43669</v>
      </c>
      <c r="E413" t="s">
        <v>11</v>
      </c>
      <c r="F413" t="s">
        <v>56</v>
      </c>
      <c r="G413" t="s">
        <v>25</v>
      </c>
      <c r="H413" t="s">
        <v>63</v>
      </c>
      <c r="I413" t="s">
        <v>32</v>
      </c>
      <c r="J413" t="s">
        <v>568</v>
      </c>
    </row>
    <row r="414" spans="1:10" x14ac:dyDescent="0.3">
      <c r="A414" t="s">
        <v>17</v>
      </c>
      <c r="B414">
        <v>77043.839999999997</v>
      </c>
      <c r="C414">
        <v>63245.29</v>
      </c>
      <c r="D414" s="1">
        <v>44045</v>
      </c>
      <c r="E414" t="s">
        <v>181</v>
      </c>
      <c r="F414" t="s">
        <v>126</v>
      </c>
      <c r="G414" t="s">
        <v>19</v>
      </c>
      <c r="H414" t="s">
        <v>49</v>
      </c>
      <c r="I414" t="s">
        <v>27</v>
      </c>
      <c r="J414" t="s">
        <v>569</v>
      </c>
    </row>
    <row r="415" spans="1:10" x14ac:dyDescent="0.3">
      <c r="A415" t="s">
        <v>216</v>
      </c>
      <c r="B415">
        <v>353925.06</v>
      </c>
      <c r="C415">
        <v>287528.71999999997</v>
      </c>
      <c r="D415" s="1">
        <v>43933</v>
      </c>
      <c r="E415" t="s">
        <v>40</v>
      </c>
      <c r="F415" t="s">
        <v>229</v>
      </c>
      <c r="G415" t="s">
        <v>217</v>
      </c>
      <c r="H415" t="s">
        <v>218</v>
      </c>
      <c r="I415" t="s">
        <v>27</v>
      </c>
      <c r="J415" t="s">
        <v>570</v>
      </c>
    </row>
    <row r="416" spans="1:10" x14ac:dyDescent="0.3">
      <c r="A416" t="s">
        <v>34</v>
      </c>
      <c r="B416">
        <v>176080.36</v>
      </c>
      <c r="C416">
        <v>153401.21</v>
      </c>
      <c r="D416" s="1">
        <v>43782</v>
      </c>
      <c r="E416" t="s">
        <v>76</v>
      </c>
      <c r="F416" t="s">
        <v>133</v>
      </c>
      <c r="G416" t="s">
        <v>36</v>
      </c>
      <c r="H416" t="s">
        <v>93</v>
      </c>
      <c r="I416" t="s">
        <v>27</v>
      </c>
      <c r="J416" t="s">
        <v>571</v>
      </c>
    </row>
    <row r="417" spans="1:10" x14ac:dyDescent="0.3">
      <c r="A417" t="s">
        <v>129</v>
      </c>
      <c r="B417">
        <v>180250.02</v>
      </c>
      <c r="C417">
        <v>147354.39000000001</v>
      </c>
      <c r="D417" s="1">
        <v>43530</v>
      </c>
      <c r="E417" t="s">
        <v>29</v>
      </c>
      <c r="F417" t="s">
        <v>302</v>
      </c>
      <c r="G417" t="s">
        <v>130</v>
      </c>
      <c r="H417" t="s">
        <v>131</v>
      </c>
      <c r="I417" t="s">
        <v>27</v>
      </c>
      <c r="J417" t="s">
        <v>572</v>
      </c>
    </row>
    <row r="418" spans="1:10" x14ac:dyDescent="0.3">
      <c r="A418" t="s">
        <v>22</v>
      </c>
      <c r="B418">
        <v>157754.35999999999</v>
      </c>
      <c r="C418">
        <v>132166.6</v>
      </c>
      <c r="D418" s="1">
        <v>43716</v>
      </c>
      <c r="E418" t="s">
        <v>91</v>
      </c>
      <c r="F418" t="s">
        <v>144</v>
      </c>
      <c r="G418" t="s">
        <v>25</v>
      </c>
      <c r="H418" t="s">
        <v>52</v>
      </c>
      <c r="I418" t="s">
        <v>32</v>
      </c>
      <c r="J418" t="s">
        <v>573</v>
      </c>
    </row>
    <row r="419" spans="1:10" x14ac:dyDescent="0.3">
      <c r="A419" t="s">
        <v>34</v>
      </c>
      <c r="B419">
        <v>87321.89</v>
      </c>
      <c r="C419">
        <v>69254.990000000005</v>
      </c>
      <c r="D419" s="1">
        <v>43482</v>
      </c>
      <c r="E419" t="s">
        <v>29</v>
      </c>
      <c r="F419" t="s">
        <v>133</v>
      </c>
      <c r="G419" t="s">
        <v>36</v>
      </c>
      <c r="H419" t="s">
        <v>104</v>
      </c>
      <c r="I419" t="s">
        <v>32</v>
      </c>
      <c r="J419" t="s">
        <v>574</v>
      </c>
    </row>
    <row r="420" spans="1:10" x14ac:dyDescent="0.3">
      <c r="A420" t="s">
        <v>22</v>
      </c>
      <c r="B420">
        <v>40467.85</v>
      </c>
      <c r="C420">
        <v>34656.67</v>
      </c>
      <c r="D420" s="1">
        <v>43889</v>
      </c>
      <c r="E420" t="s">
        <v>51</v>
      </c>
      <c r="F420" t="s">
        <v>135</v>
      </c>
      <c r="G420" t="s">
        <v>25</v>
      </c>
      <c r="H420" t="s">
        <v>26</v>
      </c>
      <c r="I420" t="s">
        <v>15</v>
      </c>
      <c r="J420" t="s">
        <v>575</v>
      </c>
    </row>
    <row r="421" spans="1:10" x14ac:dyDescent="0.3">
      <c r="A421" t="s">
        <v>34</v>
      </c>
      <c r="B421">
        <v>160763.9</v>
      </c>
      <c r="C421">
        <v>131102.96</v>
      </c>
      <c r="D421" s="1">
        <v>43573</v>
      </c>
      <c r="E421" t="s">
        <v>23</v>
      </c>
      <c r="F421" t="s">
        <v>211</v>
      </c>
      <c r="G421" t="s">
        <v>36</v>
      </c>
      <c r="H421" t="s">
        <v>37</v>
      </c>
      <c r="I421" t="s">
        <v>27</v>
      </c>
      <c r="J421" t="s">
        <v>576</v>
      </c>
    </row>
    <row r="422" spans="1:10" x14ac:dyDescent="0.3">
      <c r="A422" t="s">
        <v>10</v>
      </c>
      <c r="B422">
        <v>156505.37</v>
      </c>
      <c r="C422">
        <v>128647.41</v>
      </c>
      <c r="D422" s="1">
        <v>43560</v>
      </c>
      <c r="E422" t="s">
        <v>29</v>
      </c>
      <c r="F422" t="s">
        <v>308</v>
      </c>
      <c r="G422" t="s">
        <v>13</v>
      </c>
      <c r="H422" t="s">
        <v>46</v>
      </c>
      <c r="I422" t="s">
        <v>27</v>
      </c>
      <c r="J422" t="s">
        <v>577</v>
      </c>
    </row>
    <row r="423" spans="1:10" x14ac:dyDescent="0.3">
      <c r="A423" t="s">
        <v>10</v>
      </c>
      <c r="B423">
        <v>118030.7</v>
      </c>
      <c r="C423">
        <v>97304.51</v>
      </c>
      <c r="D423" s="1">
        <v>43564</v>
      </c>
      <c r="E423" t="s">
        <v>29</v>
      </c>
      <c r="F423" t="s">
        <v>92</v>
      </c>
      <c r="G423" t="s">
        <v>13</v>
      </c>
      <c r="H423" t="s">
        <v>72</v>
      </c>
      <c r="I423" t="s">
        <v>27</v>
      </c>
      <c r="J423" t="s">
        <v>578</v>
      </c>
    </row>
    <row r="424" spans="1:10" x14ac:dyDescent="0.3">
      <c r="A424" t="s">
        <v>10</v>
      </c>
      <c r="B424">
        <v>15100.57</v>
      </c>
      <c r="C424">
        <v>12113.68</v>
      </c>
      <c r="D424" s="1">
        <v>43516</v>
      </c>
      <c r="E424" t="s">
        <v>11</v>
      </c>
      <c r="F424" t="s">
        <v>300</v>
      </c>
      <c r="G424" t="s">
        <v>13</v>
      </c>
      <c r="H424" t="s">
        <v>14</v>
      </c>
      <c r="I424" t="s">
        <v>27</v>
      </c>
      <c r="J424" t="s">
        <v>579</v>
      </c>
    </row>
    <row r="425" spans="1:10" x14ac:dyDescent="0.3">
      <c r="A425" t="s">
        <v>22</v>
      </c>
      <c r="B425">
        <v>105833.52</v>
      </c>
      <c r="C425">
        <v>85312.4</v>
      </c>
      <c r="D425" s="1">
        <v>43544</v>
      </c>
      <c r="E425" t="s">
        <v>51</v>
      </c>
      <c r="F425" t="s">
        <v>211</v>
      </c>
      <c r="G425" t="s">
        <v>25</v>
      </c>
      <c r="H425" t="s">
        <v>26</v>
      </c>
      <c r="I425" t="s">
        <v>27</v>
      </c>
      <c r="J425" t="s">
        <v>580</v>
      </c>
    </row>
    <row r="426" spans="1:10" x14ac:dyDescent="0.3">
      <c r="A426" t="s">
        <v>169</v>
      </c>
      <c r="B426">
        <v>43609.57</v>
      </c>
      <c r="C426">
        <v>34634.720000000001</v>
      </c>
      <c r="D426" s="1">
        <v>43833</v>
      </c>
      <c r="E426" t="s">
        <v>23</v>
      </c>
      <c r="F426" t="s">
        <v>373</v>
      </c>
      <c r="G426" t="s">
        <v>171</v>
      </c>
      <c r="H426" t="s">
        <v>298</v>
      </c>
      <c r="I426" t="s">
        <v>27</v>
      </c>
      <c r="J426" t="s">
        <v>581</v>
      </c>
    </row>
    <row r="427" spans="1:10" x14ac:dyDescent="0.3">
      <c r="A427" t="s">
        <v>151</v>
      </c>
      <c r="B427">
        <v>165709.19</v>
      </c>
      <c r="C427">
        <v>138102.04</v>
      </c>
      <c r="D427" s="1">
        <v>44084</v>
      </c>
      <c r="E427" t="s">
        <v>51</v>
      </c>
      <c r="F427" t="s">
        <v>314</v>
      </c>
      <c r="G427" t="s">
        <v>152</v>
      </c>
      <c r="H427" t="s">
        <v>197</v>
      </c>
      <c r="I427" t="s">
        <v>27</v>
      </c>
      <c r="J427" t="s">
        <v>582</v>
      </c>
    </row>
    <row r="428" spans="1:10" x14ac:dyDescent="0.3">
      <c r="A428" t="s">
        <v>22</v>
      </c>
      <c r="B428">
        <v>57367.93</v>
      </c>
      <c r="C428">
        <v>46255.76</v>
      </c>
      <c r="D428" s="1">
        <v>43766</v>
      </c>
      <c r="E428" t="s">
        <v>40</v>
      </c>
      <c r="F428" t="s">
        <v>74</v>
      </c>
      <c r="G428" t="s">
        <v>25</v>
      </c>
      <c r="H428" t="s">
        <v>52</v>
      </c>
      <c r="I428" t="s">
        <v>32</v>
      </c>
      <c r="J428" t="s">
        <v>583</v>
      </c>
    </row>
    <row r="429" spans="1:10" x14ac:dyDescent="0.3">
      <c r="A429" t="s">
        <v>34</v>
      </c>
      <c r="B429">
        <v>222700.23</v>
      </c>
      <c r="C429">
        <v>194951.78</v>
      </c>
      <c r="D429" s="1">
        <v>44177</v>
      </c>
      <c r="E429" t="s">
        <v>23</v>
      </c>
      <c r="F429" t="s">
        <v>56</v>
      </c>
      <c r="G429" t="s">
        <v>36</v>
      </c>
      <c r="H429" t="s">
        <v>37</v>
      </c>
      <c r="I429" t="s">
        <v>32</v>
      </c>
      <c r="J429" t="s">
        <v>584</v>
      </c>
    </row>
    <row r="430" spans="1:10" x14ac:dyDescent="0.3">
      <c r="A430" t="s">
        <v>22</v>
      </c>
      <c r="B430">
        <v>97514.7</v>
      </c>
      <c r="C430">
        <v>80790.929999999993</v>
      </c>
      <c r="D430" s="1">
        <v>44167</v>
      </c>
      <c r="E430" t="s">
        <v>23</v>
      </c>
      <c r="F430" t="s">
        <v>133</v>
      </c>
      <c r="G430" t="s">
        <v>25</v>
      </c>
      <c r="H430" t="s">
        <v>63</v>
      </c>
      <c r="I430" t="s">
        <v>27</v>
      </c>
      <c r="J430" t="s">
        <v>585</v>
      </c>
    </row>
    <row r="431" spans="1:10" x14ac:dyDescent="0.3">
      <c r="A431" t="s">
        <v>34</v>
      </c>
      <c r="B431">
        <v>99064.31</v>
      </c>
      <c r="C431">
        <v>85393.44</v>
      </c>
      <c r="D431" s="1">
        <v>44111</v>
      </c>
      <c r="E431" t="s">
        <v>91</v>
      </c>
      <c r="F431" t="s">
        <v>56</v>
      </c>
      <c r="G431" t="s">
        <v>36</v>
      </c>
      <c r="H431" t="s">
        <v>104</v>
      </c>
      <c r="I431" t="s">
        <v>27</v>
      </c>
      <c r="J431" t="s">
        <v>586</v>
      </c>
    </row>
    <row r="432" spans="1:10" x14ac:dyDescent="0.3">
      <c r="A432" t="s">
        <v>22</v>
      </c>
      <c r="B432">
        <v>254883.03</v>
      </c>
      <c r="C432">
        <v>213413.56</v>
      </c>
      <c r="D432" s="1">
        <v>43811</v>
      </c>
      <c r="E432" t="s">
        <v>23</v>
      </c>
      <c r="F432" t="s">
        <v>92</v>
      </c>
      <c r="G432" t="s">
        <v>25</v>
      </c>
      <c r="H432" t="s">
        <v>26</v>
      </c>
      <c r="I432" t="s">
        <v>27</v>
      </c>
      <c r="J432" t="s">
        <v>587</v>
      </c>
    </row>
    <row r="433" spans="1:10" x14ac:dyDescent="0.3">
      <c r="A433" t="s">
        <v>129</v>
      </c>
      <c r="B433">
        <v>154078.75</v>
      </c>
      <c r="C433">
        <v>131336.73000000001</v>
      </c>
      <c r="D433" s="1">
        <v>43960</v>
      </c>
      <c r="E433" t="s">
        <v>91</v>
      </c>
      <c r="F433" t="s">
        <v>83</v>
      </c>
      <c r="G433" t="s">
        <v>130</v>
      </c>
      <c r="H433" t="s">
        <v>159</v>
      </c>
      <c r="I433" t="s">
        <v>27</v>
      </c>
      <c r="J433" t="s">
        <v>588</v>
      </c>
    </row>
    <row r="434" spans="1:10" x14ac:dyDescent="0.3">
      <c r="A434" t="s">
        <v>151</v>
      </c>
      <c r="B434">
        <v>168178.03</v>
      </c>
      <c r="C434">
        <v>142665.42000000001</v>
      </c>
      <c r="D434" s="1">
        <v>43950</v>
      </c>
      <c r="E434" t="s">
        <v>40</v>
      </c>
      <c r="F434" t="s">
        <v>373</v>
      </c>
      <c r="G434" t="s">
        <v>152</v>
      </c>
      <c r="H434" t="s">
        <v>197</v>
      </c>
      <c r="I434" t="s">
        <v>27</v>
      </c>
      <c r="J434" t="s">
        <v>589</v>
      </c>
    </row>
    <row r="435" spans="1:10" x14ac:dyDescent="0.3">
      <c r="A435" t="s">
        <v>17</v>
      </c>
      <c r="B435">
        <v>99132.04</v>
      </c>
      <c r="C435">
        <v>78819.89</v>
      </c>
      <c r="D435" s="1">
        <v>43911</v>
      </c>
      <c r="E435" t="s">
        <v>51</v>
      </c>
      <c r="F435" t="s">
        <v>30</v>
      </c>
      <c r="G435" t="s">
        <v>19</v>
      </c>
      <c r="H435" t="s">
        <v>49</v>
      </c>
      <c r="I435" t="s">
        <v>27</v>
      </c>
      <c r="J435" t="s">
        <v>590</v>
      </c>
    </row>
    <row r="436" spans="1:10" x14ac:dyDescent="0.3">
      <c r="A436" t="s">
        <v>151</v>
      </c>
      <c r="B436">
        <v>292124.64</v>
      </c>
      <c r="C436">
        <v>245822.88</v>
      </c>
      <c r="D436" s="1">
        <v>43720</v>
      </c>
      <c r="E436" t="s">
        <v>76</v>
      </c>
      <c r="F436" t="s">
        <v>222</v>
      </c>
      <c r="G436" t="s">
        <v>152</v>
      </c>
      <c r="H436" t="s">
        <v>153</v>
      </c>
      <c r="I436" t="s">
        <v>27</v>
      </c>
      <c r="J436" t="s">
        <v>591</v>
      </c>
    </row>
    <row r="437" spans="1:10" x14ac:dyDescent="0.3">
      <c r="A437" t="s">
        <v>10</v>
      </c>
      <c r="B437">
        <v>37081.31</v>
      </c>
      <c r="C437">
        <v>31304.04</v>
      </c>
      <c r="D437" s="1">
        <v>43772</v>
      </c>
      <c r="E437" t="s">
        <v>76</v>
      </c>
      <c r="F437" t="s">
        <v>211</v>
      </c>
      <c r="G437" t="s">
        <v>13</v>
      </c>
      <c r="H437" t="s">
        <v>81</v>
      </c>
      <c r="I437" t="s">
        <v>27</v>
      </c>
      <c r="J437" t="s">
        <v>592</v>
      </c>
    </row>
    <row r="438" spans="1:10" x14ac:dyDescent="0.3">
      <c r="A438" t="s">
        <v>22</v>
      </c>
      <c r="B438">
        <v>105374.44</v>
      </c>
      <c r="C438">
        <v>89779.02</v>
      </c>
      <c r="D438" s="1">
        <v>43879</v>
      </c>
      <c r="E438" t="s">
        <v>29</v>
      </c>
      <c r="F438" t="s">
        <v>292</v>
      </c>
      <c r="G438" t="s">
        <v>25</v>
      </c>
      <c r="H438" t="s">
        <v>87</v>
      </c>
      <c r="I438" t="s">
        <v>27</v>
      </c>
      <c r="J438" t="s">
        <v>593</v>
      </c>
    </row>
    <row r="439" spans="1:10" x14ac:dyDescent="0.3">
      <c r="A439" t="s">
        <v>17</v>
      </c>
      <c r="B439">
        <v>176114.73</v>
      </c>
      <c r="C439">
        <v>149257.23000000001</v>
      </c>
      <c r="D439" s="1">
        <v>44159</v>
      </c>
      <c r="E439" t="s">
        <v>29</v>
      </c>
      <c r="F439" t="s">
        <v>56</v>
      </c>
      <c r="G439" t="s">
        <v>19</v>
      </c>
      <c r="H439" t="s">
        <v>78</v>
      </c>
      <c r="I439" t="s">
        <v>27</v>
      </c>
      <c r="J439" t="s">
        <v>594</v>
      </c>
    </row>
    <row r="440" spans="1:10" x14ac:dyDescent="0.3">
      <c r="A440" t="s">
        <v>34</v>
      </c>
      <c r="B440">
        <v>33724.53</v>
      </c>
      <c r="C440">
        <v>26770.53</v>
      </c>
      <c r="D440" s="1">
        <v>43860</v>
      </c>
      <c r="E440" t="s">
        <v>76</v>
      </c>
      <c r="F440" t="s">
        <v>595</v>
      </c>
      <c r="G440" t="s">
        <v>36</v>
      </c>
      <c r="H440" t="s">
        <v>104</v>
      </c>
      <c r="I440" t="s">
        <v>32</v>
      </c>
      <c r="J440" t="s">
        <v>596</v>
      </c>
    </row>
    <row r="441" spans="1:10" x14ac:dyDescent="0.3">
      <c r="A441" t="s">
        <v>129</v>
      </c>
      <c r="B441">
        <v>194531.02</v>
      </c>
      <c r="C441">
        <v>158970.75</v>
      </c>
      <c r="D441" s="1">
        <v>43715</v>
      </c>
      <c r="E441" t="s">
        <v>40</v>
      </c>
      <c r="F441" t="s">
        <v>400</v>
      </c>
      <c r="G441" t="s">
        <v>130</v>
      </c>
      <c r="H441" t="s">
        <v>131</v>
      </c>
      <c r="I441" t="s">
        <v>15</v>
      </c>
      <c r="J441" t="s">
        <v>597</v>
      </c>
    </row>
    <row r="442" spans="1:10" x14ac:dyDescent="0.3">
      <c r="A442" t="s">
        <v>17</v>
      </c>
      <c r="B442">
        <v>171458.64</v>
      </c>
      <c r="C442">
        <v>148877.54</v>
      </c>
      <c r="D442" s="1">
        <v>43693</v>
      </c>
      <c r="E442" t="s">
        <v>91</v>
      </c>
      <c r="F442" t="s">
        <v>139</v>
      </c>
      <c r="G442" t="s">
        <v>19</v>
      </c>
      <c r="H442" t="s">
        <v>31</v>
      </c>
      <c r="I442" t="s">
        <v>27</v>
      </c>
      <c r="J442" t="s">
        <v>598</v>
      </c>
    </row>
    <row r="443" spans="1:10" x14ac:dyDescent="0.3">
      <c r="A443" t="s">
        <v>22</v>
      </c>
      <c r="B443">
        <v>97641.25</v>
      </c>
      <c r="C443">
        <v>83414.92</v>
      </c>
      <c r="D443" s="1">
        <v>44121</v>
      </c>
      <c r="E443" t="s">
        <v>91</v>
      </c>
      <c r="F443" t="s">
        <v>113</v>
      </c>
      <c r="G443" t="s">
        <v>25</v>
      </c>
      <c r="H443" t="s">
        <v>87</v>
      </c>
      <c r="I443" t="s">
        <v>27</v>
      </c>
      <c r="J443" t="s">
        <v>599</v>
      </c>
    </row>
    <row r="444" spans="1:10" x14ac:dyDescent="0.3">
      <c r="A444" t="s">
        <v>17</v>
      </c>
      <c r="B444">
        <v>150287.47</v>
      </c>
      <c r="C444">
        <v>123611.44</v>
      </c>
      <c r="D444" s="1">
        <v>43959</v>
      </c>
      <c r="E444" t="s">
        <v>91</v>
      </c>
      <c r="F444" t="s">
        <v>62</v>
      </c>
      <c r="G444" t="s">
        <v>19</v>
      </c>
      <c r="H444" t="s">
        <v>49</v>
      </c>
      <c r="I444" t="s">
        <v>27</v>
      </c>
      <c r="J444" t="s">
        <v>600</v>
      </c>
    </row>
    <row r="445" spans="1:10" x14ac:dyDescent="0.3">
      <c r="A445" t="s">
        <v>34</v>
      </c>
      <c r="B445">
        <v>156585.22</v>
      </c>
      <c r="C445">
        <v>126599.15</v>
      </c>
      <c r="D445" s="1">
        <v>44073</v>
      </c>
      <c r="E445" t="s">
        <v>55</v>
      </c>
      <c r="F445" t="s">
        <v>285</v>
      </c>
      <c r="G445" t="s">
        <v>36</v>
      </c>
      <c r="H445" t="s">
        <v>104</v>
      </c>
      <c r="I445" t="s">
        <v>27</v>
      </c>
      <c r="J445" t="s">
        <v>601</v>
      </c>
    </row>
    <row r="446" spans="1:10" x14ac:dyDescent="0.3">
      <c r="A446" t="s">
        <v>10</v>
      </c>
      <c r="B446">
        <v>66225.710000000006</v>
      </c>
      <c r="C446">
        <v>52437.52</v>
      </c>
      <c r="D446" s="1">
        <v>43960</v>
      </c>
      <c r="E446" t="s">
        <v>91</v>
      </c>
      <c r="F446" t="s">
        <v>244</v>
      </c>
      <c r="G446" t="s">
        <v>13</v>
      </c>
      <c r="H446" t="s">
        <v>46</v>
      </c>
      <c r="I446" t="s">
        <v>27</v>
      </c>
      <c r="J446" t="s">
        <v>602</v>
      </c>
    </row>
    <row r="447" spans="1:10" x14ac:dyDescent="0.3">
      <c r="A447" t="s">
        <v>17</v>
      </c>
      <c r="B447">
        <v>167935.31</v>
      </c>
      <c r="C447">
        <v>137942.06</v>
      </c>
      <c r="D447" s="1">
        <v>43573</v>
      </c>
      <c r="E447" t="s">
        <v>11</v>
      </c>
      <c r="F447" t="s">
        <v>164</v>
      </c>
      <c r="G447" t="s">
        <v>19</v>
      </c>
      <c r="H447" t="s">
        <v>20</v>
      </c>
      <c r="I447" t="s">
        <v>27</v>
      </c>
      <c r="J447" t="s">
        <v>603</v>
      </c>
    </row>
    <row r="448" spans="1:10" x14ac:dyDescent="0.3">
      <c r="A448" t="s">
        <v>17</v>
      </c>
      <c r="B448">
        <v>35437.89</v>
      </c>
      <c r="C448">
        <v>30412.799999999999</v>
      </c>
      <c r="D448" s="1">
        <v>43892</v>
      </c>
      <c r="E448" t="s">
        <v>40</v>
      </c>
      <c r="F448" t="s">
        <v>189</v>
      </c>
      <c r="G448" t="s">
        <v>19</v>
      </c>
      <c r="H448" t="s">
        <v>157</v>
      </c>
      <c r="I448" t="s">
        <v>27</v>
      </c>
      <c r="J448" t="s">
        <v>604</v>
      </c>
    </row>
    <row r="449" spans="1:10" x14ac:dyDescent="0.3">
      <c r="A449" t="s">
        <v>22</v>
      </c>
      <c r="B449">
        <v>133072</v>
      </c>
      <c r="C449">
        <v>108600.06</v>
      </c>
      <c r="D449" s="1">
        <v>44132</v>
      </c>
      <c r="E449" t="s">
        <v>181</v>
      </c>
      <c r="F449" t="s">
        <v>67</v>
      </c>
      <c r="G449" t="s">
        <v>25</v>
      </c>
      <c r="H449" t="s">
        <v>26</v>
      </c>
      <c r="I449" t="s">
        <v>27</v>
      </c>
      <c r="J449" t="s">
        <v>605</v>
      </c>
    </row>
    <row r="450" spans="1:10" x14ac:dyDescent="0.3">
      <c r="A450" t="s">
        <v>17</v>
      </c>
      <c r="B450">
        <v>95307.21</v>
      </c>
      <c r="C450">
        <v>78533.14</v>
      </c>
      <c r="D450" s="1">
        <v>43916</v>
      </c>
      <c r="E450" t="s">
        <v>91</v>
      </c>
      <c r="F450" t="s">
        <v>126</v>
      </c>
      <c r="G450" t="s">
        <v>19</v>
      </c>
      <c r="H450" t="s">
        <v>20</v>
      </c>
      <c r="I450" t="s">
        <v>27</v>
      </c>
      <c r="J450" t="s">
        <v>606</v>
      </c>
    </row>
    <row r="451" spans="1:10" x14ac:dyDescent="0.3">
      <c r="A451" t="s">
        <v>34</v>
      </c>
      <c r="B451">
        <v>36534.089999999997</v>
      </c>
      <c r="C451">
        <v>31138</v>
      </c>
      <c r="D451" s="1">
        <v>44029</v>
      </c>
      <c r="E451" t="s">
        <v>23</v>
      </c>
      <c r="F451" t="s">
        <v>269</v>
      </c>
      <c r="G451" t="s">
        <v>36</v>
      </c>
      <c r="H451" t="s">
        <v>104</v>
      </c>
      <c r="I451" t="s">
        <v>27</v>
      </c>
      <c r="J451" t="s">
        <v>607</v>
      </c>
    </row>
    <row r="452" spans="1:10" x14ac:dyDescent="0.3">
      <c r="A452" t="s">
        <v>22</v>
      </c>
      <c r="B452">
        <v>98746.66</v>
      </c>
      <c r="C452">
        <v>80399.53</v>
      </c>
      <c r="D452" s="1">
        <v>44106</v>
      </c>
      <c r="E452" t="s">
        <v>23</v>
      </c>
      <c r="F452" t="s">
        <v>314</v>
      </c>
      <c r="G452" t="s">
        <v>25</v>
      </c>
      <c r="H452" t="s">
        <v>167</v>
      </c>
      <c r="I452" t="s">
        <v>27</v>
      </c>
      <c r="J452" t="s">
        <v>608</v>
      </c>
    </row>
    <row r="453" spans="1:10" x14ac:dyDescent="0.3">
      <c r="A453" t="s">
        <v>129</v>
      </c>
      <c r="B453">
        <v>133057.07</v>
      </c>
      <c r="C453">
        <v>113351.32</v>
      </c>
      <c r="D453" s="1">
        <v>43895</v>
      </c>
      <c r="E453" t="s">
        <v>99</v>
      </c>
      <c r="F453" t="s">
        <v>45</v>
      </c>
      <c r="G453" t="s">
        <v>130</v>
      </c>
      <c r="H453" t="s">
        <v>159</v>
      </c>
      <c r="I453" t="s">
        <v>27</v>
      </c>
      <c r="J453" t="s">
        <v>609</v>
      </c>
    </row>
    <row r="454" spans="1:10" x14ac:dyDescent="0.3">
      <c r="A454" t="s">
        <v>17</v>
      </c>
      <c r="B454">
        <v>197581.29</v>
      </c>
      <c r="C454">
        <v>169485.23</v>
      </c>
      <c r="D454" s="1">
        <v>43812</v>
      </c>
      <c r="E454" t="s">
        <v>29</v>
      </c>
      <c r="F454" t="s">
        <v>222</v>
      </c>
      <c r="G454" t="s">
        <v>19</v>
      </c>
      <c r="H454" t="s">
        <v>157</v>
      </c>
      <c r="I454" t="s">
        <v>27</v>
      </c>
      <c r="J454" t="s">
        <v>610</v>
      </c>
    </row>
    <row r="455" spans="1:10" x14ac:dyDescent="0.3">
      <c r="A455" t="s">
        <v>247</v>
      </c>
      <c r="B455">
        <v>93153.98</v>
      </c>
      <c r="C455">
        <v>79702.55</v>
      </c>
      <c r="D455" s="1">
        <v>43894</v>
      </c>
      <c r="E455" t="s">
        <v>23</v>
      </c>
      <c r="F455" t="s">
        <v>126</v>
      </c>
      <c r="G455" t="s">
        <v>248</v>
      </c>
      <c r="H455" t="s">
        <v>249</v>
      </c>
      <c r="I455" t="s">
        <v>32</v>
      </c>
      <c r="J455" t="s">
        <v>611</v>
      </c>
    </row>
    <row r="456" spans="1:10" x14ac:dyDescent="0.3">
      <c r="A456" t="s">
        <v>22</v>
      </c>
      <c r="B456">
        <v>53181.88</v>
      </c>
      <c r="C456">
        <v>42316.82</v>
      </c>
      <c r="D456" s="1">
        <v>43983</v>
      </c>
      <c r="E456" t="s">
        <v>51</v>
      </c>
      <c r="F456" t="s">
        <v>222</v>
      </c>
      <c r="G456" t="s">
        <v>25</v>
      </c>
      <c r="H456" t="s">
        <v>63</v>
      </c>
      <c r="I456" t="s">
        <v>27</v>
      </c>
      <c r="J456" t="s">
        <v>612</v>
      </c>
    </row>
    <row r="457" spans="1:10" x14ac:dyDescent="0.3">
      <c r="A457" t="s">
        <v>34</v>
      </c>
      <c r="B457">
        <v>112491.58</v>
      </c>
      <c r="C457">
        <v>92254.34</v>
      </c>
      <c r="D457" s="1">
        <v>43762</v>
      </c>
      <c r="E457" t="s">
        <v>23</v>
      </c>
      <c r="F457" t="s">
        <v>106</v>
      </c>
      <c r="G457" t="s">
        <v>36</v>
      </c>
      <c r="H457" t="s">
        <v>37</v>
      </c>
      <c r="I457" t="s">
        <v>32</v>
      </c>
      <c r="J457" t="s">
        <v>613</v>
      </c>
    </row>
    <row r="458" spans="1:10" x14ac:dyDescent="0.3">
      <c r="A458" t="s">
        <v>22</v>
      </c>
      <c r="B458">
        <v>56570.64</v>
      </c>
      <c r="C458">
        <v>46993.23</v>
      </c>
      <c r="D458" s="1">
        <v>43961</v>
      </c>
      <c r="E458" t="s">
        <v>91</v>
      </c>
      <c r="F458" t="s">
        <v>461</v>
      </c>
      <c r="G458" t="s">
        <v>25</v>
      </c>
      <c r="H458" t="s">
        <v>167</v>
      </c>
      <c r="I458" t="s">
        <v>27</v>
      </c>
      <c r="J458" t="s">
        <v>614</v>
      </c>
    </row>
    <row r="459" spans="1:10" x14ac:dyDescent="0.3">
      <c r="A459" t="s">
        <v>17</v>
      </c>
      <c r="B459">
        <v>134243.39000000001</v>
      </c>
      <c r="C459">
        <v>113019.51</v>
      </c>
      <c r="D459" s="1">
        <v>43486</v>
      </c>
      <c r="E459" t="s">
        <v>76</v>
      </c>
      <c r="F459" t="s">
        <v>80</v>
      </c>
      <c r="G459" t="s">
        <v>19</v>
      </c>
      <c r="H459" t="s">
        <v>78</v>
      </c>
      <c r="I459" t="s">
        <v>27</v>
      </c>
      <c r="J459" t="s">
        <v>615</v>
      </c>
    </row>
    <row r="460" spans="1:10" x14ac:dyDescent="0.3">
      <c r="A460" t="s">
        <v>22</v>
      </c>
      <c r="B460">
        <v>127482.28</v>
      </c>
      <c r="C460">
        <v>108614.9</v>
      </c>
      <c r="D460" s="1">
        <v>44069</v>
      </c>
      <c r="E460" t="s">
        <v>76</v>
      </c>
      <c r="F460" t="s">
        <v>256</v>
      </c>
      <c r="G460" t="s">
        <v>25</v>
      </c>
      <c r="H460" t="s">
        <v>52</v>
      </c>
      <c r="I460" t="s">
        <v>27</v>
      </c>
      <c r="J460" t="s">
        <v>616</v>
      </c>
    </row>
    <row r="461" spans="1:10" x14ac:dyDescent="0.3">
      <c r="A461" t="s">
        <v>17</v>
      </c>
      <c r="B461">
        <v>155827.29999999999</v>
      </c>
      <c r="C461">
        <v>126360.36</v>
      </c>
      <c r="D461" s="1">
        <v>43585</v>
      </c>
      <c r="E461" t="s">
        <v>23</v>
      </c>
      <c r="F461" t="s">
        <v>256</v>
      </c>
      <c r="G461" t="s">
        <v>19</v>
      </c>
      <c r="H461" t="s">
        <v>49</v>
      </c>
      <c r="I461" t="s">
        <v>15</v>
      </c>
      <c r="J461" t="s">
        <v>617</v>
      </c>
    </row>
    <row r="462" spans="1:10" x14ac:dyDescent="0.3">
      <c r="A462" t="s">
        <v>22</v>
      </c>
      <c r="B462">
        <v>115538.34</v>
      </c>
      <c r="C462">
        <v>99686.48</v>
      </c>
      <c r="D462" s="1">
        <v>43858</v>
      </c>
      <c r="E462" t="s">
        <v>11</v>
      </c>
      <c r="F462" t="s">
        <v>244</v>
      </c>
      <c r="G462" t="s">
        <v>25</v>
      </c>
      <c r="H462" t="s">
        <v>167</v>
      </c>
      <c r="I462" t="s">
        <v>27</v>
      </c>
      <c r="J462" t="s">
        <v>618</v>
      </c>
    </row>
    <row r="463" spans="1:10" x14ac:dyDescent="0.3">
      <c r="A463" t="s">
        <v>22</v>
      </c>
      <c r="B463">
        <v>45725.53</v>
      </c>
      <c r="C463">
        <v>36571.279999999999</v>
      </c>
      <c r="D463" s="1">
        <v>44019</v>
      </c>
      <c r="E463" t="s">
        <v>99</v>
      </c>
      <c r="F463" t="s">
        <v>35</v>
      </c>
      <c r="G463" t="s">
        <v>25</v>
      </c>
      <c r="H463" t="s">
        <v>52</v>
      </c>
      <c r="I463" t="s">
        <v>32</v>
      </c>
      <c r="J463" t="s">
        <v>619</v>
      </c>
    </row>
    <row r="464" spans="1:10" x14ac:dyDescent="0.3">
      <c r="A464" t="s">
        <v>17</v>
      </c>
      <c r="B464">
        <v>57292.84</v>
      </c>
      <c r="C464">
        <v>45908.75</v>
      </c>
      <c r="D464" s="1">
        <v>43534</v>
      </c>
      <c r="E464" t="s">
        <v>29</v>
      </c>
      <c r="F464" t="s">
        <v>109</v>
      </c>
      <c r="G464" t="s">
        <v>19</v>
      </c>
      <c r="H464" t="s">
        <v>157</v>
      </c>
      <c r="I464" t="s">
        <v>27</v>
      </c>
      <c r="J464" t="s">
        <v>620</v>
      </c>
    </row>
    <row r="465" spans="1:10" x14ac:dyDescent="0.3">
      <c r="A465" t="s">
        <v>22</v>
      </c>
      <c r="B465">
        <v>166367.16</v>
      </c>
      <c r="C465">
        <v>135788.88</v>
      </c>
      <c r="D465" s="1">
        <v>43872</v>
      </c>
      <c r="E465" t="s">
        <v>76</v>
      </c>
      <c r="F465" t="s">
        <v>18</v>
      </c>
      <c r="G465" t="s">
        <v>25</v>
      </c>
      <c r="H465" t="s">
        <v>167</v>
      </c>
      <c r="I465" t="s">
        <v>27</v>
      </c>
      <c r="J465" t="s">
        <v>621</v>
      </c>
    </row>
    <row r="466" spans="1:10" x14ac:dyDescent="0.3">
      <c r="A466" t="s">
        <v>17</v>
      </c>
      <c r="B466">
        <v>75264.84</v>
      </c>
      <c r="C466">
        <v>61694.59</v>
      </c>
      <c r="D466" s="1">
        <v>44090</v>
      </c>
      <c r="E466" t="s">
        <v>40</v>
      </c>
      <c r="F466" t="s">
        <v>133</v>
      </c>
      <c r="G466" t="s">
        <v>19</v>
      </c>
      <c r="H466" t="s">
        <v>157</v>
      </c>
      <c r="I466" t="s">
        <v>32</v>
      </c>
      <c r="J466" t="s">
        <v>622</v>
      </c>
    </row>
    <row r="467" spans="1:10" x14ac:dyDescent="0.3">
      <c r="A467" t="s">
        <v>143</v>
      </c>
      <c r="B467">
        <v>77855.47</v>
      </c>
      <c r="C467">
        <v>63545.63</v>
      </c>
      <c r="D467" s="1">
        <v>43690</v>
      </c>
      <c r="E467" t="s">
        <v>181</v>
      </c>
      <c r="F467" t="s">
        <v>272</v>
      </c>
      <c r="G467" t="s">
        <v>145</v>
      </c>
      <c r="H467" t="s">
        <v>206</v>
      </c>
      <c r="I467" t="s">
        <v>27</v>
      </c>
      <c r="J467" t="s">
        <v>623</v>
      </c>
    </row>
    <row r="468" spans="1:10" x14ac:dyDescent="0.3">
      <c r="A468" t="s">
        <v>22</v>
      </c>
      <c r="B468">
        <v>119409.43</v>
      </c>
      <c r="C468">
        <v>102656.29</v>
      </c>
      <c r="D468" s="1">
        <v>43641</v>
      </c>
      <c r="E468" t="s">
        <v>29</v>
      </c>
      <c r="F468" t="s">
        <v>102</v>
      </c>
      <c r="G468" t="s">
        <v>25</v>
      </c>
      <c r="H468" t="s">
        <v>63</v>
      </c>
      <c r="I468" t="s">
        <v>27</v>
      </c>
      <c r="J468" t="s">
        <v>624</v>
      </c>
    </row>
    <row r="469" spans="1:10" x14ac:dyDescent="0.3">
      <c r="A469" t="s">
        <v>17</v>
      </c>
      <c r="B469">
        <v>85337.78</v>
      </c>
      <c r="C469">
        <v>72306.7</v>
      </c>
      <c r="D469" s="1">
        <v>43923</v>
      </c>
      <c r="E469" t="s">
        <v>23</v>
      </c>
      <c r="F469" t="s">
        <v>312</v>
      </c>
      <c r="G469" t="s">
        <v>19</v>
      </c>
      <c r="H469" t="s">
        <v>31</v>
      </c>
      <c r="I469" t="s">
        <v>32</v>
      </c>
      <c r="J469" t="s">
        <v>625</v>
      </c>
    </row>
    <row r="470" spans="1:10" x14ac:dyDescent="0.3">
      <c r="A470" t="s">
        <v>34</v>
      </c>
      <c r="B470">
        <v>100094.97</v>
      </c>
      <c r="C470">
        <v>84690.35</v>
      </c>
      <c r="D470" s="1">
        <v>44054</v>
      </c>
      <c r="E470" t="s">
        <v>11</v>
      </c>
      <c r="F470" t="s">
        <v>135</v>
      </c>
      <c r="G470" t="s">
        <v>36</v>
      </c>
      <c r="H470" t="s">
        <v>37</v>
      </c>
      <c r="I470" t="s">
        <v>27</v>
      </c>
      <c r="J470" t="s">
        <v>626</v>
      </c>
    </row>
    <row r="471" spans="1:10" x14ac:dyDescent="0.3">
      <c r="A471" t="s">
        <v>129</v>
      </c>
      <c r="B471">
        <v>293767.28000000003</v>
      </c>
      <c r="C471">
        <v>254079.32</v>
      </c>
      <c r="D471" s="1">
        <v>43957</v>
      </c>
      <c r="E471" t="s">
        <v>11</v>
      </c>
      <c r="F471" t="s">
        <v>236</v>
      </c>
      <c r="G471" t="s">
        <v>130</v>
      </c>
      <c r="H471" t="s">
        <v>159</v>
      </c>
      <c r="I471" t="s">
        <v>27</v>
      </c>
      <c r="J471" t="s">
        <v>627</v>
      </c>
    </row>
    <row r="472" spans="1:10" x14ac:dyDescent="0.3">
      <c r="A472" t="s">
        <v>10</v>
      </c>
      <c r="B472">
        <v>207379.28</v>
      </c>
      <c r="C472">
        <v>166442.60999999999</v>
      </c>
      <c r="D472" s="1">
        <v>43817</v>
      </c>
      <c r="E472" t="s">
        <v>55</v>
      </c>
      <c r="F472" t="s">
        <v>95</v>
      </c>
      <c r="G472" t="s">
        <v>13</v>
      </c>
      <c r="H472" t="s">
        <v>81</v>
      </c>
      <c r="I472" t="s">
        <v>27</v>
      </c>
      <c r="J472" t="s">
        <v>628</v>
      </c>
    </row>
    <row r="473" spans="1:10" x14ac:dyDescent="0.3">
      <c r="A473" t="s">
        <v>10</v>
      </c>
      <c r="B473">
        <v>56717.53</v>
      </c>
      <c r="C473">
        <v>45101.78</v>
      </c>
      <c r="D473" s="1">
        <v>43741</v>
      </c>
      <c r="E473" t="s">
        <v>40</v>
      </c>
      <c r="F473" t="s">
        <v>56</v>
      </c>
      <c r="G473" t="s">
        <v>13</v>
      </c>
      <c r="H473" t="s">
        <v>46</v>
      </c>
      <c r="J473" t="s">
        <v>629</v>
      </c>
    </row>
    <row r="474" spans="1:10" x14ac:dyDescent="0.3">
      <c r="A474" t="s">
        <v>17</v>
      </c>
      <c r="B474">
        <v>195214.72</v>
      </c>
      <c r="C474">
        <v>154649.1</v>
      </c>
      <c r="D474" s="1">
        <v>43642</v>
      </c>
      <c r="E474" t="s">
        <v>91</v>
      </c>
      <c r="F474" t="s">
        <v>214</v>
      </c>
      <c r="G474" t="s">
        <v>19</v>
      </c>
      <c r="H474" t="s">
        <v>78</v>
      </c>
      <c r="I474" t="s">
        <v>27</v>
      </c>
      <c r="J474" t="s">
        <v>630</v>
      </c>
    </row>
    <row r="475" spans="1:10" x14ac:dyDescent="0.3">
      <c r="A475" t="s">
        <v>22</v>
      </c>
      <c r="B475">
        <v>110441.89</v>
      </c>
      <c r="C475">
        <v>90970.98</v>
      </c>
      <c r="D475" s="1">
        <v>43922</v>
      </c>
      <c r="E475" t="s">
        <v>76</v>
      </c>
      <c r="F475" t="s">
        <v>471</v>
      </c>
      <c r="G475" t="s">
        <v>25</v>
      </c>
      <c r="H475" t="s">
        <v>63</v>
      </c>
      <c r="I475" t="s">
        <v>15</v>
      </c>
      <c r="J475" t="s">
        <v>631</v>
      </c>
    </row>
    <row r="476" spans="1:10" x14ac:dyDescent="0.3">
      <c r="A476" t="s">
        <v>10</v>
      </c>
      <c r="B476">
        <v>112909.4</v>
      </c>
      <c r="C476">
        <v>93940.62</v>
      </c>
      <c r="D476" s="1">
        <v>43580</v>
      </c>
      <c r="E476" t="s">
        <v>40</v>
      </c>
      <c r="F476" t="s">
        <v>56</v>
      </c>
      <c r="G476" t="s">
        <v>13</v>
      </c>
      <c r="H476" t="s">
        <v>72</v>
      </c>
      <c r="I476" t="s">
        <v>27</v>
      </c>
      <c r="J476" t="s">
        <v>632</v>
      </c>
    </row>
    <row r="477" spans="1:10" x14ac:dyDescent="0.3">
      <c r="A477" t="s">
        <v>34</v>
      </c>
      <c r="B477">
        <v>290010.78999999998</v>
      </c>
      <c r="C477">
        <v>234444.72</v>
      </c>
      <c r="D477" s="1">
        <v>43824</v>
      </c>
      <c r="E477" t="s">
        <v>51</v>
      </c>
      <c r="F477" t="s">
        <v>195</v>
      </c>
      <c r="G477" t="s">
        <v>36</v>
      </c>
      <c r="H477" t="s">
        <v>37</v>
      </c>
      <c r="I477" t="s">
        <v>27</v>
      </c>
      <c r="J477" t="s">
        <v>633</v>
      </c>
    </row>
    <row r="478" spans="1:10" x14ac:dyDescent="0.3">
      <c r="A478" t="s">
        <v>17</v>
      </c>
      <c r="B478">
        <v>108713.83</v>
      </c>
      <c r="C478">
        <v>90341.19</v>
      </c>
      <c r="D478" s="1">
        <v>44077</v>
      </c>
      <c r="E478" t="s">
        <v>40</v>
      </c>
      <c r="F478" t="s">
        <v>106</v>
      </c>
      <c r="G478" t="s">
        <v>19</v>
      </c>
      <c r="H478" t="s">
        <v>20</v>
      </c>
      <c r="I478" t="s">
        <v>27</v>
      </c>
      <c r="J478" t="s">
        <v>634</v>
      </c>
    </row>
    <row r="479" spans="1:10" x14ac:dyDescent="0.3">
      <c r="A479" t="s">
        <v>10</v>
      </c>
      <c r="B479">
        <v>110837.96</v>
      </c>
      <c r="C479">
        <v>92106.34</v>
      </c>
      <c r="D479" s="1">
        <v>43521</v>
      </c>
      <c r="E479" t="s">
        <v>29</v>
      </c>
      <c r="F479" t="s">
        <v>92</v>
      </c>
      <c r="G479" t="s">
        <v>13</v>
      </c>
      <c r="H479" t="s">
        <v>46</v>
      </c>
      <c r="I479" t="s">
        <v>27</v>
      </c>
      <c r="J479" t="s">
        <v>635</v>
      </c>
    </row>
    <row r="480" spans="1:10" x14ac:dyDescent="0.3">
      <c r="A480" t="s">
        <v>22</v>
      </c>
      <c r="B480">
        <v>178027.46</v>
      </c>
      <c r="C480">
        <v>144985.56</v>
      </c>
      <c r="D480" s="1">
        <v>43922</v>
      </c>
      <c r="E480" t="s">
        <v>23</v>
      </c>
      <c r="F480" t="s">
        <v>18</v>
      </c>
      <c r="G480" t="s">
        <v>25</v>
      </c>
      <c r="H480" t="s">
        <v>26</v>
      </c>
      <c r="I480" t="s">
        <v>27</v>
      </c>
      <c r="J480" t="s">
        <v>636</v>
      </c>
    </row>
    <row r="481" spans="1:10" x14ac:dyDescent="0.3">
      <c r="A481" t="s">
        <v>22</v>
      </c>
      <c r="B481">
        <v>57345.79</v>
      </c>
      <c r="C481">
        <v>45716.06</v>
      </c>
      <c r="D481" s="1">
        <v>44085</v>
      </c>
      <c r="E481" t="s">
        <v>40</v>
      </c>
      <c r="F481" t="s">
        <v>373</v>
      </c>
      <c r="G481" t="s">
        <v>25</v>
      </c>
      <c r="H481" t="s">
        <v>63</v>
      </c>
      <c r="I481" t="s">
        <v>27</v>
      </c>
      <c r="J481" t="s">
        <v>637</v>
      </c>
    </row>
    <row r="482" spans="1:10" x14ac:dyDescent="0.3">
      <c r="A482" t="s">
        <v>17</v>
      </c>
      <c r="B482">
        <v>63298.61</v>
      </c>
      <c r="C482">
        <v>53645.57</v>
      </c>
      <c r="D482" s="1">
        <v>44108</v>
      </c>
      <c r="E482" t="s">
        <v>23</v>
      </c>
      <c r="F482" t="s">
        <v>156</v>
      </c>
      <c r="G482" t="s">
        <v>19</v>
      </c>
      <c r="H482" t="s">
        <v>49</v>
      </c>
      <c r="I482" t="s">
        <v>32</v>
      </c>
      <c r="J482" t="s">
        <v>638</v>
      </c>
    </row>
    <row r="483" spans="1:10" x14ac:dyDescent="0.3">
      <c r="A483" t="s">
        <v>34</v>
      </c>
      <c r="B483">
        <v>28328.78</v>
      </c>
      <c r="C483">
        <v>24408.080000000002</v>
      </c>
      <c r="D483" s="1">
        <v>43515</v>
      </c>
      <c r="E483" t="s">
        <v>40</v>
      </c>
      <c r="F483" t="s">
        <v>92</v>
      </c>
      <c r="G483" t="s">
        <v>36</v>
      </c>
      <c r="H483" t="s">
        <v>93</v>
      </c>
      <c r="I483" t="s">
        <v>27</v>
      </c>
      <c r="J483" t="s">
        <v>639</v>
      </c>
    </row>
    <row r="484" spans="1:10" x14ac:dyDescent="0.3">
      <c r="A484" t="s">
        <v>34</v>
      </c>
      <c r="B484">
        <v>169262.2</v>
      </c>
      <c r="C484">
        <v>141080.04</v>
      </c>
      <c r="D484" s="1">
        <v>43947</v>
      </c>
      <c r="E484" t="s">
        <v>76</v>
      </c>
      <c r="F484" t="s">
        <v>314</v>
      </c>
      <c r="G484" t="s">
        <v>36</v>
      </c>
      <c r="H484" t="s">
        <v>104</v>
      </c>
      <c r="I484" t="s">
        <v>27</v>
      </c>
      <c r="J484" t="s">
        <v>640</v>
      </c>
    </row>
    <row r="485" spans="1:10" x14ac:dyDescent="0.3">
      <c r="A485" t="s">
        <v>17</v>
      </c>
      <c r="B485">
        <v>67594.100000000006</v>
      </c>
      <c r="C485">
        <v>54920.21</v>
      </c>
      <c r="D485" s="1">
        <v>43734</v>
      </c>
      <c r="E485" t="s">
        <v>99</v>
      </c>
      <c r="F485" t="s">
        <v>149</v>
      </c>
      <c r="G485" t="s">
        <v>19</v>
      </c>
      <c r="H485" t="s">
        <v>20</v>
      </c>
      <c r="I485" t="s">
        <v>27</v>
      </c>
      <c r="J485" t="s">
        <v>641</v>
      </c>
    </row>
    <row r="486" spans="1:10" x14ac:dyDescent="0.3">
      <c r="A486" t="s">
        <v>17</v>
      </c>
      <c r="B486">
        <v>143658.22</v>
      </c>
      <c r="C486">
        <v>123158.19</v>
      </c>
      <c r="D486" s="1">
        <v>44134</v>
      </c>
      <c r="E486" t="s">
        <v>23</v>
      </c>
      <c r="F486" t="s">
        <v>18</v>
      </c>
      <c r="G486" t="s">
        <v>19</v>
      </c>
      <c r="H486" t="s">
        <v>20</v>
      </c>
      <c r="I486" t="s">
        <v>27</v>
      </c>
      <c r="J486" t="s">
        <v>642</v>
      </c>
    </row>
    <row r="487" spans="1:10" x14ac:dyDescent="0.3">
      <c r="A487" t="s">
        <v>122</v>
      </c>
      <c r="B487">
        <v>33210.559999999998</v>
      </c>
      <c r="C487">
        <v>29109.06</v>
      </c>
      <c r="D487" s="1">
        <v>44155</v>
      </c>
      <c r="E487" t="s">
        <v>91</v>
      </c>
      <c r="F487" t="s">
        <v>106</v>
      </c>
      <c r="G487" t="s">
        <v>123</v>
      </c>
      <c r="H487" t="s">
        <v>124</v>
      </c>
      <c r="I487" t="s">
        <v>27</v>
      </c>
      <c r="J487" t="s">
        <v>643</v>
      </c>
    </row>
    <row r="488" spans="1:10" x14ac:dyDescent="0.3">
      <c r="A488" t="s">
        <v>22</v>
      </c>
      <c r="B488">
        <v>21341.66</v>
      </c>
      <c r="C488">
        <v>16930.34</v>
      </c>
      <c r="D488" s="1">
        <v>43552</v>
      </c>
      <c r="E488" t="s">
        <v>11</v>
      </c>
      <c r="F488" t="s">
        <v>164</v>
      </c>
      <c r="G488" t="s">
        <v>25</v>
      </c>
      <c r="H488" t="s">
        <v>167</v>
      </c>
      <c r="I488" t="s">
        <v>27</v>
      </c>
      <c r="J488" t="s">
        <v>644</v>
      </c>
    </row>
    <row r="489" spans="1:10" x14ac:dyDescent="0.3">
      <c r="A489" t="s">
        <v>22</v>
      </c>
      <c r="B489">
        <v>129353.22</v>
      </c>
      <c r="C489">
        <v>111593.02</v>
      </c>
      <c r="D489" s="1">
        <v>43483</v>
      </c>
      <c r="E489" t="s">
        <v>11</v>
      </c>
      <c r="F489" t="s">
        <v>80</v>
      </c>
      <c r="G489" t="s">
        <v>25</v>
      </c>
      <c r="H489" t="s">
        <v>26</v>
      </c>
      <c r="I489" t="s">
        <v>32</v>
      </c>
      <c r="J489" t="s">
        <v>645</v>
      </c>
    </row>
    <row r="490" spans="1:10" x14ac:dyDescent="0.3">
      <c r="A490" t="s">
        <v>17</v>
      </c>
      <c r="B490">
        <v>28783.05</v>
      </c>
      <c r="C490">
        <v>24776.45</v>
      </c>
      <c r="D490" s="1">
        <v>43553</v>
      </c>
      <c r="E490" t="s">
        <v>40</v>
      </c>
      <c r="F490" t="s">
        <v>174</v>
      </c>
      <c r="G490" t="s">
        <v>19</v>
      </c>
      <c r="H490" t="s">
        <v>78</v>
      </c>
      <c r="I490" t="s">
        <v>27</v>
      </c>
      <c r="J490" t="s">
        <v>646</v>
      </c>
    </row>
    <row r="491" spans="1:10" x14ac:dyDescent="0.3">
      <c r="A491" t="s">
        <v>151</v>
      </c>
      <c r="B491">
        <v>165747.20000000001</v>
      </c>
      <c r="C491">
        <v>132912.68</v>
      </c>
      <c r="D491" s="1">
        <v>43851</v>
      </c>
      <c r="E491" t="s">
        <v>91</v>
      </c>
      <c r="F491" t="s">
        <v>400</v>
      </c>
      <c r="G491" t="s">
        <v>152</v>
      </c>
      <c r="H491" t="s">
        <v>197</v>
      </c>
      <c r="I491" t="s">
        <v>27</v>
      </c>
      <c r="J491" t="s">
        <v>647</v>
      </c>
    </row>
    <row r="492" spans="1:10" x14ac:dyDescent="0.3">
      <c r="A492" t="s">
        <v>17</v>
      </c>
      <c r="B492">
        <v>87355.7</v>
      </c>
      <c r="C492">
        <v>74584.3</v>
      </c>
      <c r="D492" s="1">
        <v>43526</v>
      </c>
      <c r="E492" t="s">
        <v>51</v>
      </c>
      <c r="F492" t="s">
        <v>195</v>
      </c>
      <c r="G492" t="s">
        <v>19</v>
      </c>
      <c r="H492" t="s">
        <v>31</v>
      </c>
      <c r="I492" t="s">
        <v>27</v>
      </c>
      <c r="J492" t="s">
        <v>648</v>
      </c>
    </row>
    <row r="493" spans="1:10" x14ac:dyDescent="0.3">
      <c r="A493" t="s">
        <v>34</v>
      </c>
      <c r="B493">
        <v>66391.58</v>
      </c>
      <c r="C493">
        <v>52635.24</v>
      </c>
      <c r="D493" s="1">
        <v>43567</v>
      </c>
      <c r="E493" t="s">
        <v>40</v>
      </c>
      <c r="F493" t="s">
        <v>77</v>
      </c>
      <c r="G493" t="s">
        <v>36</v>
      </c>
      <c r="H493" t="s">
        <v>104</v>
      </c>
      <c r="I493" t="s">
        <v>32</v>
      </c>
      <c r="J493" t="s">
        <v>649</v>
      </c>
    </row>
    <row r="494" spans="1:10" x14ac:dyDescent="0.3">
      <c r="A494" t="s">
        <v>22</v>
      </c>
      <c r="B494">
        <v>43066.58</v>
      </c>
      <c r="C494">
        <v>36154.39</v>
      </c>
      <c r="D494" s="1">
        <v>43679</v>
      </c>
      <c r="E494" t="s">
        <v>11</v>
      </c>
      <c r="F494" t="s">
        <v>71</v>
      </c>
      <c r="G494" t="s">
        <v>25</v>
      </c>
      <c r="H494" t="s">
        <v>63</v>
      </c>
      <c r="I494" t="s">
        <v>32</v>
      </c>
      <c r="J494" t="s">
        <v>650</v>
      </c>
    </row>
    <row r="495" spans="1:10" x14ac:dyDescent="0.3">
      <c r="A495" t="s">
        <v>22</v>
      </c>
      <c r="B495">
        <v>109713.84</v>
      </c>
      <c r="C495">
        <v>95769.21</v>
      </c>
      <c r="D495" s="1">
        <v>44017</v>
      </c>
      <c r="E495" t="s">
        <v>51</v>
      </c>
      <c r="F495" t="s">
        <v>144</v>
      </c>
      <c r="G495" t="s">
        <v>25</v>
      </c>
      <c r="H495" t="s">
        <v>52</v>
      </c>
      <c r="I495" t="s">
        <v>27</v>
      </c>
      <c r="J495" t="s">
        <v>651</v>
      </c>
    </row>
    <row r="496" spans="1:10" x14ac:dyDescent="0.3">
      <c r="A496" t="s">
        <v>216</v>
      </c>
      <c r="B496">
        <v>43008.69</v>
      </c>
      <c r="C496">
        <v>34458.559999999998</v>
      </c>
      <c r="D496" s="1">
        <v>43665</v>
      </c>
      <c r="E496" t="s">
        <v>23</v>
      </c>
      <c r="F496" t="s">
        <v>415</v>
      </c>
      <c r="G496" t="s">
        <v>217</v>
      </c>
      <c r="H496" t="s">
        <v>218</v>
      </c>
      <c r="I496" t="s">
        <v>27</v>
      </c>
      <c r="J496" t="s">
        <v>652</v>
      </c>
    </row>
    <row r="497" spans="1:10" x14ac:dyDescent="0.3">
      <c r="A497" t="s">
        <v>122</v>
      </c>
      <c r="B497">
        <v>40187.99</v>
      </c>
      <c r="C497">
        <v>32508.07</v>
      </c>
      <c r="D497" s="1">
        <v>43973</v>
      </c>
      <c r="E497" t="s">
        <v>11</v>
      </c>
      <c r="F497" t="s">
        <v>74</v>
      </c>
      <c r="G497" t="s">
        <v>123</v>
      </c>
      <c r="H497" t="s">
        <v>254</v>
      </c>
      <c r="I497" t="s">
        <v>27</v>
      </c>
      <c r="J497" t="s">
        <v>653</v>
      </c>
    </row>
    <row r="498" spans="1:10" x14ac:dyDescent="0.3">
      <c r="A498" t="s">
        <v>22</v>
      </c>
      <c r="B498">
        <v>84224.98</v>
      </c>
      <c r="C498">
        <v>68239.08</v>
      </c>
      <c r="D498" s="1">
        <v>43486</v>
      </c>
      <c r="E498" t="s">
        <v>23</v>
      </c>
      <c r="F498" t="s">
        <v>106</v>
      </c>
      <c r="G498" t="s">
        <v>25</v>
      </c>
      <c r="H498" t="s">
        <v>52</v>
      </c>
      <c r="I498" t="s">
        <v>32</v>
      </c>
      <c r="J498" t="s">
        <v>654</v>
      </c>
    </row>
    <row r="499" spans="1:10" x14ac:dyDescent="0.3">
      <c r="A499" t="s">
        <v>17</v>
      </c>
      <c r="B499">
        <v>57276.26</v>
      </c>
      <c r="C499">
        <v>49223.22</v>
      </c>
      <c r="D499" s="1">
        <v>43925</v>
      </c>
      <c r="E499" t="s">
        <v>23</v>
      </c>
      <c r="F499" t="s">
        <v>56</v>
      </c>
      <c r="G499" t="s">
        <v>19</v>
      </c>
      <c r="H499" t="s">
        <v>20</v>
      </c>
      <c r="I499" t="s">
        <v>27</v>
      </c>
      <c r="J499" t="s">
        <v>655</v>
      </c>
    </row>
    <row r="500" spans="1:10" x14ac:dyDescent="0.3">
      <c r="A500" t="s">
        <v>22</v>
      </c>
      <c r="B500">
        <v>172340.86</v>
      </c>
      <c r="C500">
        <v>136562.9</v>
      </c>
      <c r="D500" s="1">
        <v>44078</v>
      </c>
      <c r="E500" t="s">
        <v>76</v>
      </c>
      <c r="F500" t="s">
        <v>656</v>
      </c>
      <c r="G500" t="s">
        <v>25</v>
      </c>
      <c r="H500" t="s">
        <v>63</v>
      </c>
      <c r="I500" t="s">
        <v>27</v>
      </c>
      <c r="J500" t="s">
        <v>657</v>
      </c>
    </row>
    <row r="501" spans="1:10" x14ac:dyDescent="0.3">
      <c r="A501" t="s">
        <v>129</v>
      </c>
      <c r="B501">
        <v>25816.05</v>
      </c>
      <c r="C501">
        <v>21447.97</v>
      </c>
      <c r="D501" s="1">
        <v>43686</v>
      </c>
      <c r="E501" t="s">
        <v>40</v>
      </c>
      <c r="F501" t="s">
        <v>195</v>
      </c>
      <c r="G501" t="s">
        <v>130</v>
      </c>
      <c r="H501" t="s">
        <v>131</v>
      </c>
      <c r="I501" t="s">
        <v>32</v>
      </c>
      <c r="J501" t="s">
        <v>658</v>
      </c>
    </row>
    <row r="502" spans="1:10" x14ac:dyDescent="0.3">
      <c r="A502" t="s">
        <v>17</v>
      </c>
      <c r="B502">
        <v>238850.25</v>
      </c>
      <c r="C502">
        <v>199607.15</v>
      </c>
      <c r="D502" s="1">
        <v>43646</v>
      </c>
      <c r="E502" t="s">
        <v>23</v>
      </c>
      <c r="F502" t="s">
        <v>149</v>
      </c>
      <c r="G502" t="s">
        <v>19</v>
      </c>
      <c r="H502" t="s">
        <v>157</v>
      </c>
      <c r="I502" t="s">
        <v>27</v>
      </c>
      <c r="J502" t="s">
        <v>659</v>
      </c>
    </row>
    <row r="503" spans="1:10" x14ac:dyDescent="0.3">
      <c r="A503" t="s">
        <v>247</v>
      </c>
      <c r="B503">
        <v>118061.05</v>
      </c>
      <c r="C503">
        <v>101131.1</v>
      </c>
      <c r="D503" s="1">
        <v>43868</v>
      </c>
      <c r="E503" t="s">
        <v>23</v>
      </c>
      <c r="F503" t="s">
        <v>56</v>
      </c>
      <c r="G503" t="s">
        <v>248</v>
      </c>
      <c r="H503" t="s">
        <v>249</v>
      </c>
      <c r="I503" t="s">
        <v>32</v>
      </c>
      <c r="J503" t="s">
        <v>660</v>
      </c>
    </row>
    <row r="504" spans="1:10" x14ac:dyDescent="0.3">
      <c r="A504" t="s">
        <v>17</v>
      </c>
      <c r="B504">
        <v>121043.69</v>
      </c>
      <c r="C504">
        <v>96750.22</v>
      </c>
      <c r="D504" s="1">
        <v>44102</v>
      </c>
      <c r="E504" t="s">
        <v>91</v>
      </c>
      <c r="F504" t="s">
        <v>106</v>
      </c>
      <c r="G504" t="s">
        <v>19</v>
      </c>
      <c r="H504" t="s">
        <v>31</v>
      </c>
      <c r="I504" t="s">
        <v>27</v>
      </c>
      <c r="J504" t="s">
        <v>661</v>
      </c>
    </row>
    <row r="505" spans="1:10" x14ac:dyDescent="0.3">
      <c r="A505" t="s">
        <v>10</v>
      </c>
      <c r="B505">
        <v>24787.65</v>
      </c>
      <c r="C505">
        <v>20454.77</v>
      </c>
      <c r="D505" s="1">
        <v>43801</v>
      </c>
      <c r="E505" t="s">
        <v>99</v>
      </c>
      <c r="F505" t="s">
        <v>83</v>
      </c>
      <c r="G505" t="s">
        <v>13</v>
      </c>
      <c r="H505" t="s">
        <v>110</v>
      </c>
      <c r="I505" t="s">
        <v>27</v>
      </c>
      <c r="J505" t="s">
        <v>662</v>
      </c>
    </row>
    <row r="506" spans="1:10" x14ac:dyDescent="0.3">
      <c r="A506" t="s">
        <v>17</v>
      </c>
      <c r="B506">
        <v>86628.32</v>
      </c>
      <c r="C506">
        <v>72464.59</v>
      </c>
      <c r="D506" s="1">
        <v>43627</v>
      </c>
      <c r="E506" t="s">
        <v>23</v>
      </c>
      <c r="F506" t="s">
        <v>80</v>
      </c>
      <c r="G506" t="s">
        <v>19</v>
      </c>
      <c r="H506" t="s">
        <v>31</v>
      </c>
      <c r="I506" t="s">
        <v>27</v>
      </c>
      <c r="J506" t="s">
        <v>663</v>
      </c>
    </row>
    <row r="507" spans="1:10" x14ac:dyDescent="0.3">
      <c r="A507" t="s">
        <v>17</v>
      </c>
      <c r="B507">
        <v>154936.24</v>
      </c>
      <c r="C507">
        <v>135739.64000000001</v>
      </c>
      <c r="D507" s="1">
        <v>44011</v>
      </c>
      <c r="E507" t="s">
        <v>91</v>
      </c>
      <c r="F507" t="s">
        <v>74</v>
      </c>
      <c r="G507" t="s">
        <v>19</v>
      </c>
      <c r="H507" t="s">
        <v>157</v>
      </c>
      <c r="I507" t="s">
        <v>27</v>
      </c>
      <c r="J507" t="s">
        <v>664</v>
      </c>
    </row>
    <row r="508" spans="1:10" x14ac:dyDescent="0.3">
      <c r="A508" t="s">
        <v>17</v>
      </c>
      <c r="B508">
        <v>36183.97</v>
      </c>
      <c r="C508">
        <v>30579.07</v>
      </c>
      <c r="D508" s="1">
        <v>44082</v>
      </c>
      <c r="E508" t="s">
        <v>91</v>
      </c>
      <c r="F508" t="s">
        <v>144</v>
      </c>
      <c r="G508" t="s">
        <v>19</v>
      </c>
      <c r="H508" t="s">
        <v>49</v>
      </c>
      <c r="I508" t="s">
        <v>32</v>
      </c>
      <c r="J508" t="s">
        <v>665</v>
      </c>
    </row>
    <row r="509" spans="1:10" x14ac:dyDescent="0.3">
      <c r="A509" t="s">
        <v>17</v>
      </c>
      <c r="B509">
        <v>71079.8</v>
      </c>
      <c r="C509">
        <v>56778.54</v>
      </c>
      <c r="D509" s="1">
        <v>43784</v>
      </c>
      <c r="E509" t="s">
        <v>29</v>
      </c>
      <c r="F509" t="s">
        <v>135</v>
      </c>
      <c r="G509" t="s">
        <v>19</v>
      </c>
      <c r="H509" t="s">
        <v>49</v>
      </c>
      <c r="I509" t="s">
        <v>27</v>
      </c>
      <c r="J509" t="s">
        <v>666</v>
      </c>
    </row>
    <row r="510" spans="1:10" x14ac:dyDescent="0.3">
      <c r="A510" t="s">
        <v>17</v>
      </c>
      <c r="B510">
        <v>111676.46</v>
      </c>
      <c r="C510">
        <v>92791.97</v>
      </c>
      <c r="D510" s="1">
        <v>43683</v>
      </c>
      <c r="E510" t="s">
        <v>76</v>
      </c>
      <c r="F510" t="s">
        <v>126</v>
      </c>
      <c r="G510" t="s">
        <v>19</v>
      </c>
      <c r="H510" t="s">
        <v>157</v>
      </c>
      <c r="I510" t="s">
        <v>27</v>
      </c>
      <c r="J510" t="s">
        <v>667</v>
      </c>
    </row>
    <row r="511" spans="1:10" x14ac:dyDescent="0.3">
      <c r="A511" t="s">
        <v>10</v>
      </c>
      <c r="B511">
        <v>137026.71</v>
      </c>
      <c r="C511">
        <v>120117.61</v>
      </c>
      <c r="D511" s="1">
        <v>44069</v>
      </c>
      <c r="E511" t="s">
        <v>51</v>
      </c>
      <c r="F511" t="s">
        <v>139</v>
      </c>
      <c r="G511" t="s">
        <v>13</v>
      </c>
      <c r="H511" t="s">
        <v>81</v>
      </c>
      <c r="I511" t="s">
        <v>27</v>
      </c>
      <c r="J511" t="s">
        <v>668</v>
      </c>
    </row>
    <row r="512" spans="1:10" x14ac:dyDescent="0.3">
      <c r="A512" t="s">
        <v>10</v>
      </c>
      <c r="B512">
        <v>84537.2</v>
      </c>
      <c r="C512">
        <v>69405.039999999994</v>
      </c>
      <c r="D512" s="1">
        <v>43849</v>
      </c>
      <c r="E512" t="s">
        <v>11</v>
      </c>
      <c r="F512" t="s">
        <v>214</v>
      </c>
      <c r="G512" t="s">
        <v>13</v>
      </c>
      <c r="H512" t="s">
        <v>14</v>
      </c>
      <c r="I512" t="s">
        <v>32</v>
      </c>
      <c r="J512" t="s">
        <v>669</v>
      </c>
    </row>
    <row r="513" spans="1:10" x14ac:dyDescent="0.3">
      <c r="A513" t="s">
        <v>10</v>
      </c>
      <c r="B513">
        <v>140352.81</v>
      </c>
      <c r="C513">
        <v>122303.44</v>
      </c>
      <c r="D513" s="1">
        <v>43477</v>
      </c>
      <c r="E513" t="s">
        <v>51</v>
      </c>
      <c r="F513" t="s">
        <v>256</v>
      </c>
      <c r="G513" t="s">
        <v>13</v>
      </c>
      <c r="H513" t="s">
        <v>110</v>
      </c>
      <c r="I513" t="s">
        <v>27</v>
      </c>
      <c r="J513" t="s">
        <v>670</v>
      </c>
    </row>
    <row r="514" spans="1:10" x14ac:dyDescent="0.3">
      <c r="A514" t="s">
        <v>22</v>
      </c>
      <c r="B514">
        <v>71620.08</v>
      </c>
      <c r="C514">
        <v>62245.01</v>
      </c>
      <c r="D514" s="1">
        <v>43587</v>
      </c>
      <c r="E514" t="s">
        <v>91</v>
      </c>
      <c r="F514" t="s">
        <v>35</v>
      </c>
      <c r="G514" t="s">
        <v>25</v>
      </c>
      <c r="H514" t="s">
        <v>167</v>
      </c>
      <c r="J514" t="s">
        <v>671</v>
      </c>
    </row>
    <row r="515" spans="1:10" x14ac:dyDescent="0.3">
      <c r="A515" t="s">
        <v>22</v>
      </c>
      <c r="B515">
        <v>227830.33</v>
      </c>
      <c r="C515">
        <v>182173.13</v>
      </c>
      <c r="D515" s="1">
        <v>44110</v>
      </c>
      <c r="E515" t="s">
        <v>91</v>
      </c>
      <c r="F515" t="s">
        <v>67</v>
      </c>
      <c r="G515" t="s">
        <v>25</v>
      </c>
      <c r="H515" t="s">
        <v>52</v>
      </c>
      <c r="I515" t="s">
        <v>27</v>
      </c>
      <c r="J515" t="s">
        <v>672</v>
      </c>
    </row>
    <row r="516" spans="1:10" x14ac:dyDescent="0.3">
      <c r="A516" t="s">
        <v>17</v>
      </c>
      <c r="B516">
        <v>235042.75</v>
      </c>
      <c r="C516">
        <v>187446.59</v>
      </c>
      <c r="D516" s="1">
        <v>43824</v>
      </c>
      <c r="E516" t="s">
        <v>91</v>
      </c>
      <c r="F516" t="s">
        <v>222</v>
      </c>
      <c r="G516" t="s">
        <v>19</v>
      </c>
      <c r="H516" t="s">
        <v>78</v>
      </c>
      <c r="I516" t="s">
        <v>27</v>
      </c>
      <c r="J516" t="s">
        <v>673</v>
      </c>
    </row>
    <row r="517" spans="1:10" x14ac:dyDescent="0.3">
      <c r="A517" t="s">
        <v>22</v>
      </c>
      <c r="B517">
        <v>50303.66</v>
      </c>
      <c r="C517">
        <v>41103.120000000003</v>
      </c>
      <c r="D517" s="1">
        <v>43983</v>
      </c>
      <c r="E517" t="s">
        <v>23</v>
      </c>
      <c r="F517" t="s">
        <v>222</v>
      </c>
      <c r="G517" t="s">
        <v>25</v>
      </c>
      <c r="H517" t="s">
        <v>167</v>
      </c>
      <c r="I517" t="s">
        <v>27</v>
      </c>
      <c r="J517" t="s">
        <v>674</v>
      </c>
    </row>
    <row r="518" spans="1:10" x14ac:dyDescent="0.3">
      <c r="A518" t="s">
        <v>17</v>
      </c>
      <c r="B518">
        <v>131097.04999999999</v>
      </c>
      <c r="C518">
        <v>109203.84</v>
      </c>
      <c r="D518" s="1">
        <v>44008</v>
      </c>
      <c r="E518" t="s">
        <v>76</v>
      </c>
      <c r="F518" t="s">
        <v>244</v>
      </c>
      <c r="G518" t="s">
        <v>19</v>
      </c>
      <c r="H518" t="s">
        <v>78</v>
      </c>
      <c r="I518" t="s">
        <v>27</v>
      </c>
      <c r="J518" t="s">
        <v>675</v>
      </c>
    </row>
    <row r="519" spans="1:10" x14ac:dyDescent="0.3">
      <c r="A519" t="s">
        <v>129</v>
      </c>
      <c r="B519">
        <v>204138.34</v>
      </c>
      <c r="C519">
        <v>165617.44</v>
      </c>
      <c r="D519" s="1">
        <v>43636</v>
      </c>
      <c r="E519" t="s">
        <v>40</v>
      </c>
      <c r="F519" t="s">
        <v>302</v>
      </c>
      <c r="G519" t="s">
        <v>130</v>
      </c>
      <c r="H519" t="s">
        <v>159</v>
      </c>
      <c r="I519" t="s">
        <v>15</v>
      </c>
      <c r="J519" t="s">
        <v>676</v>
      </c>
    </row>
    <row r="520" spans="1:10" x14ac:dyDescent="0.3">
      <c r="A520" t="s">
        <v>22</v>
      </c>
      <c r="B520">
        <v>37273.839999999997</v>
      </c>
      <c r="C520">
        <v>31559.759999999998</v>
      </c>
      <c r="D520" s="1">
        <v>43850</v>
      </c>
      <c r="E520" t="s">
        <v>11</v>
      </c>
      <c r="F520" t="s">
        <v>314</v>
      </c>
      <c r="G520" t="s">
        <v>25</v>
      </c>
      <c r="H520" t="s">
        <v>52</v>
      </c>
      <c r="I520" t="s">
        <v>15</v>
      </c>
      <c r="J520" t="s">
        <v>677</v>
      </c>
    </row>
    <row r="521" spans="1:10" x14ac:dyDescent="0.3">
      <c r="A521" t="s">
        <v>17</v>
      </c>
      <c r="B521">
        <v>109697.86</v>
      </c>
      <c r="C521">
        <v>89853.52</v>
      </c>
      <c r="D521" s="1">
        <v>43670</v>
      </c>
      <c r="E521" t="s">
        <v>76</v>
      </c>
      <c r="F521" t="s">
        <v>314</v>
      </c>
      <c r="G521" t="s">
        <v>19</v>
      </c>
      <c r="H521" t="s">
        <v>31</v>
      </c>
      <c r="I521" t="s">
        <v>27</v>
      </c>
      <c r="J521" t="s">
        <v>678</v>
      </c>
    </row>
    <row r="522" spans="1:10" x14ac:dyDescent="0.3">
      <c r="A522" t="s">
        <v>143</v>
      </c>
      <c r="B522">
        <v>42475.6</v>
      </c>
      <c r="C522">
        <v>35802.68</v>
      </c>
      <c r="D522" s="1">
        <v>43509</v>
      </c>
      <c r="E522" t="s">
        <v>91</v>
      </c>
      <c r="F522" t="s">
        <v>56</v>
      </c>
      <c r="G522" t="s">
        <v>145</v>
      </c>
      <c r="H522" t="s">
        <v>146</v>
      </c>
      <c r="I522" t="s">
        <v>27</v>
      </c>
      <c r="J522" t="s">
        <v>679</v>
      </c>
    </row>
    <row r="523" spans="1:10" x14ac:dyDescent="0.3">
      <c r="A523" t="s">
        <v>143</v>
      </c>
      <c r="B523">
        <v>81412.100000000006</v>
      </c>
      <c r="C523">
        <v>64747.040000000001</v>
      </c>
      <c r="D523" s="1">
        <v>43627</v>
      </c>
      <c r="E523" t="s">
        <v>29</v>
      </c>
      <c r="F523" t="s">
        <v>56</v>
      </c>
      <c r="G523" t="s">
        <v>145</v>
      </c>
      <c r="H523" t="s">
        <v>206</v>
      </c>
      <c r="I523" t="s">
        <v>27</v>
      </c>
      <c r="J523" t="s">
        <v>680</v>
      </c>
    </row>
    <row r="524" spans="1:10" x14ac:dyDescent="0.3">
      <c r="A524" t="s">
        <v>34</v>
      </c>
      <c r="B524">
        <v>126074.62</v>
      </c>
      <c r="C524">
        <v>100027.6</v>
      </c>
      <c r="D524" s="1">
        <v>44023</v>
      </c>
      <c r="E524" t="s">
        <v>91</v>
      </c>
      <c r="F524" t="s">
        <v>335</v>
      </c>
      <c r="G524" t="s">
        <v>36</v>
      </c>
      <c r="H524" t="s">
        <v>104</v>
      </c>
      <c r="I524" t="s">
        <v>27</v>
      </c>
      <c r="J524" t="s">
        <v>681</v>
      </c>
    </row>
    <row r="525" spans="1:10" x14ac:dyDescent="0.3">
      <c r="A525" t="s">
        <v>10</v>
      </c>
      <c r="B525">
        <v>80867.179999999993</v>
      </c>
      <c r="C525">
        <v>63982.11</v>
      </c>
      <c r="D525" s="1">
        <v>43801</v>
      </c>
      <c r="E525" t="s">
        <v>91</v>
      </c>
      <c r="F525" t="s">
        <v>174</v>
      </c>
      <c r="G525" t="s">
        <v>13</v>
      </c>
      <c r="H525" t="s">
        <v>81</v>
      </c>
      <c r="I525" t="s">
        <v>27</v>
      </c>
      <c r="J525" t="s">
        <v>682</v>
      </c>
    </row>
    <row r="526" spans="1:10" x14ac:dyDescent="0.3">
      <c r="A526" t="s">
        <v>34</v>
      </c>
      <c r="B526">
        <v>149486.26999999999</v>
      </c>
      <c r="C526">
        <v>118662.2</v>
      </c>
      <c r="D526" s="1">
        <v>43624</v>
      </c>
      <c r="E526" t="s">
        <v>76</v>
      </c>
      <c r="F526" t="s">
        <v>56</v>
      </c>
      <c r="G526" t="s">
        <v>36</v>
      </c>
      <c r="H526" t="s">
        <v>37</v>
      </c>
      <c r="I526" t="s">
        <v>27</v>
      </c>
      <c r="J526" t="s">
        <v>683</v>
      </c>
    </row>
    <row r="527" spans="1:10" x14ac:dyDescent="0.3">
      <c r="A527" t="s">
        <v>122</v>
      </c>
      <c r="B527">
        <v>111106.06</v>
      </c>
      <c r="C527">
        <v>93195.76</v>
      </c>
      <c r="D527" s="1">
        <v>44146</v>
      </c>
      <c r="E527" t="s">
        <v>11</v>
      </c>
      <c r="F527" t="s">
        <v>285</v>
      </c>
      <c r="G527" t="s">
        <v>123</v>
      </c>
      <c r="H527" t="s">
        <v>124</v>
      </c>
      <c r="I527" t="s">
        <v>27</v>
      </c>
      <c r="J527" t="s">
        <v>684</v>
      </c>
    </row>
    <row r="528" spans="1:10" x14ac:dyDescent="0.3">
      <c r="A528" t="s">
        <v>17</v>
      </c>
      <c r="B528">
        <v>115689.22</v>
      </c>
      <c r="C528">
        <v>98127.6</v>
      </c>
      <c r="D528" s="1">
        <v>43661</v>
      </c>
      <c r="E528" t="s">
        <v>40</v>
      </c>
      <c r="F528" t="s">
        <v>97</v>
      </c>
      <c r="G528" t="s">
        <v>19</v>
      </c>
      <c r="H528" t="s">
        <v>49</v>
      </c>
      <c r="I528" t="s">
        <v>27</v>
      </c>
      <c r="J528" t="s">
        <v>685</v>
      </c>
    </row>
    <row r="529" spans="1:10" x14ac:dyDescent="0.3">
      <c r="A529" t="s">
        <v>10</v>
      </c>
      <c r="B529">
        <v>147994.63</v>
      </c>
      <c r="C529">
        <v>129643.3</v>
      </c>
      <c r="D529" s="1">
        <v>43492</v>
      </c>
      <c r="E529" t="s">
        <v>11</v>
      </c>
      <c r="F529" t="s">
        <v>461</v>
      </c>
      <c r="G529" t="s">
        <v>13</v>
      </c>
      <c r="H529" t="s">
        <v>46</v>
      </c>
      <c r="I529" t="s">
        <v>27</v>
      </c>
      <c r="J529" t="s">
        <v>686</v>
      </c>
    </row>
    <row r="530" spans="1:10" x14ac:dyDescent="0.3">
      <c r="A530" t="s">
        <v>122</v>
      </c>
      <c r="B530">
        <v>122998.65</v>
      </c>
      <c r="C530">
        <v>97476.43</v>
      </c>
      <c r="D530" s="1">
        <v>43858</v>
      </c>
      <c r="E530" t="s">
        <v>11</v>
      </c>
      <c r="F530" t="s">
        <v>126</v>
      </c>
      <c r="G530" t="s">
        <v>123</v>
      </c>
      <c r="H530" t="s">
        <v>124</v>
      </c>
      <c r="I530" t="s">
        <v>27</v>
      </c>
      <c r="J530" t="s">
        <v>687</v>
      </c>
    </row>
    <row r="531" spans="1:10" x14ac:dyDescent="0.3">
      <c r="A531" t="s">
        <v>17</v>
      </c>
      <c r="B531">
        <v>79833.600000000006</v>
      </c>
      <c r="C531">
        <v>63411.83</v>
      </c>
      <c r="D531" s="1">
        <v>43631</v>
      </c>
      <c r="E531" t="s">
        <v>23</v>
      </c>
      <c r="F531" t="s">
        <v>139</v>
      </c>
      <c r="G531" t="s">
        <v>19</v>
      </c>
      <c r="H531" t="s">
        <v>49</v>
      </c>
      <c r="I531" t="s">
        <v>27</v>
      </c>
      <c r="J531" t="s">
        <v>688</v>
      </c>
    </row>
    <row r="532" spans="1:10" x14ac:dyDescent="0.3">
      <c r="A532" t="s">
        <v>17</v>
      </c>
      <c r="B532">
        <v>90228.68</v>
      </c>
      <c r="C532">
        <v>77966.600000000006</v>
      </c>
      <c r="D532" s="1">
        <v>43492</v>
      </c>
      <c r="E532" t="s">
        <v>29</v>
      </c>
      <c r="F532" t="s">
        <v>89</v>
      </c>
      <c r="G532" t="s">
        <v>19</v>
      </c>
      <c r="H532" t="s">
        <v>49</v>
      </c>
      <c r="I532" t="s">
        <v>27</v>
      </c>
      <c r="J532" t="s">
        <v>689</v>
      </c>
    </row>
    <row r="533" spans="1:10" x14ac:dyDescent="0.3">
      <c r="A533" t="s">
        <v>10</v>
      </c>
      <c r="B533">
        <v>68086.960000000006</v>
      </c>
      <c r="C533">
        <v>58759.05</v>
      </c>
      <c r="D533" s="1">
        <v>43795</v>
      </c>
      <c r="E533" t="s">
        <v>29</v>
      </c>
      <c r="F533" t="s">
        <v>415</v>
      </c>
      <c r="G533" t="s">
        <v>13</v>
      </c>
      <c r="H533" t="s">
        <v>14</v>
      </c>
      <c r="I533" t="s">
        <v>27</v>
      </c>
      <c r="J533" t="s">
        <v>690</v>
      </c>
    </row>
    <row r="534" spans="1:10" x14ac:dyDescent="0.3">
      <c r="A534" t="s">
        <v>22</v>
      </c>
      <c r="B534">
        <v>172202.38</v>
      </c>
      <c r="C534">
        <v>149816.07</v>
      </c>
      <c r="D534" s="1">
        <v>43712</v>
      </c>
      <c r="E534" t="s">
        <v>23</v>
      </c>
      <c r="F534" t="s">
        <v>113</v>
      </c>
      <c r="G534" t="s">
        <v>25</v>
      </c>
      <c r="H534" t="s">
        <v>63</v>
      </c>
      <c r="I534" t="s">
        <v>15</v>
      </c>
      <c r="J534" t="s">
        <v>691</v>
      </c>
    </row>
    <row r="535" spans="1:10" x14ac:dyDescent="0.3">
      <c r="A535" t="s">
        <v>17</v>
      </c>
      <c r="B535">
        <v>144640.79999999999</v>
      </c>
      <c r="C535">
        <v>118345.1</v>
      </c>
      <c r="D535" s="1">
        <v>43773</v>
      </c>
      <c r="E535" t="s">
        <v>29</v>
      </c>
      <c r="F535" t="s">
        <v>300</v>
      </c>
      <c r="G535" t="s">
        <v>19</v>
      </c>
      <c r="H535" t="s">
        <v>49</v>
      </c>
      <c r="I535" t="s">
        <v>27</v>
      </c>
      <c r="J535" t="s">
        <v>692</v>
      </c>
    </row>
    <row r="536" spans="1:10" x14ac:dyDescent="0.3">
      <c r="A536" t="s">
        <v>10</v>
      </c>
      <c r="B536">
        <v>152747.92000000001</v>
      </c>
      <c r="C536">
        <v>130614.75</v>
      </c>
      <c r="D536" s="1">
        <v>43895</v>
      </c>
      <c r="E536" t="s">
        <v>23</v>
      </c>
      <c r="F536" t="s">
        <v>126</v>
      </c>
      <c r="G536" t="s">
        <v>13</v>
      </c>
      <c r="H536" t="s">
        <v>81</v>
      </c>
      <c r="I536" t="s">
        <v>27</v>
      </c>
      <c r="J536" t="s">
        <v>693</v>
      </c>
    </row>
    <row r="537" spans="1:10" x14ac:dyDescent="0.3">
      <c r="A537" t="s">
        <v>17</v>
      </c>
      <c r="B537">
        <v>48890.14</v>
      </c>
      <c r="C537">
        <v>41180.160000000003</v>
      </c>
      <c r="D537" s="1">
        <v>43605</v>
      </c>
      <c r="E537" t="s">
        <v>40</v>
      </c>
      <c r="F537" t="s">
        <v>56</v>
      </c>
      <c r="G537" t="s">
        <v>19</v>
      </c>
      <c r="H537" t="s">
        <v>157</v>
      </c>
      <c r="I537" t="s">
        <v>27</v>
      </c>
      <c r="J537" t="s">
        <v>694</v>
      </c>
    </row>
    <row r="538" spans="1:10" x14ac:dyDescent="0.3">
      <c r="A538" t="s">
        <v>22</v>
      </c>
      <c r="B538">
        <v>177919.14</v>
      </c>
      <c r="C538">
        <v>147370.42000000001</v>
      </c>
      <c r="D538" s="1">
        <v>44018</v>
      </c>
      <c r="E538" t="s">
        <v>76</v>
      </c>
      <c r="F538" t="s">
        <v>373</v>
      </c>
      <c r="G538" t="s">
        <v>25</v>
      </c>
      <c r="H538" t="s">
        <v>52</v>
      </c>
      <c r="I538" t="s">
        <v>27</v>
      </c>
      <c r="J538" t="s">
        <v>695</v>
      </c>
    </row>
    <row r="539" spans="1:10" x14ac:dyDescent="0.3">
      <c r="A539" t="s">
        <v>66</v>
      </c>
      <c r="B539">
        <v>68984.17</v>
      </c>
      <c r="C539">
        <v>59560.93</v>
      </c>
      <c r="D539" s="1">
        <v>43770</v>
      </c>
      <c r="E539" t="s">
        <v>76</v>
      </c>
      <c r="F539" t="s">
        <v>308</v>
      </c>
      <c r="G539" t="s">
        <v>68</v>
      </c>
      <c r="H539" t="s">
        <v>69</v>
      </c>
      <c r="I539" t="s">
        <v>27</v>
      </c>
      <c r="J539" t="s">
        <v>696</v>
      </c>
    </row>
    <row r="540" spans="1:10" x14ac:dyDescent="0.3">
      <c r="A540" t="s">
        <v>122</v>
      </c>
      <c r="B540">
        <v>230669.37</v>
      </c>
      <c r="C540">
        <v>182321.07</v>
      </c>
      <c r="D540" s="1">
        <v>43591</v>
      </c>
      <c r="E540" t="s">
        <v>91</v>
      </c>
      <c r="F540" t="s">
        <v>97</v>
      </c>
      <c r="G540" t="s">
        <v>123</v>
      </c>
      <c r="H540" t="s">
        <v>124</v>
      </c>
      <c r="I540" t="s">
        <v>27</v>
      </c>
      <c r="J540" t="s">
        <v>697</v>
      </c>
    </row>
    <row r="541" spans="1:10" x14ac:dyDescent="0.3">
      <c r="A541" t="s">
        <v>34</v>
      </c>
      <c r="B541">
        <v>91561.49</v>
      </c>
      <c r="C541">
        <v>78266.759999999995</v>
      </c>
      <c r="D541" s="1">
        <v>43549</v>
      </c>
      <c r="E541" t="s">
        <v>91</v>
      </c>
      <c r="F541" t="s">
        <v>126</v>
      </c>
      <c r="G541" t="s">
        <v>36</v>
      </c>
      <c r="H541" t="s">
        <v>104</v>
      </c>
      <c r="I541" t="s">
        <v>27</v>
      </c>
      <c r="J541" t="s">
        <v>698</v>
      </c>
    </row>
    <row r="542" spans="1:10" x14ac:dyDescent="0.3">
      <c r="A542" t="s">
        <v>10</v>
      </c>
      <c r="B542">
        <v>89502.53</v>
      </c>
      <c r="C542">
        <v>72488.100000000006</v>
      </c>
      <c r="D542" s="1">
        <v>44135</v>
      </c>
      <c r="E542" t="s">
        <v>40</v>
      </c>
      <c r="F542" t="s">
        <v>396</v>
      </c>
      <c r="G542" t="s">
        <v>13</v>
      </c>
      <c r="H542" t="s">
        <v>14</v>
      </c>
      <c r="I542" t="s">
        <v>27</v>
      </c>
      <c r="J542" t="s">
        <v>699</v>
      </c>
    </row>
    <row r="543" spans="1:10" x14ac:dyDescent="0.3">
      <c r="A543" t="s">
        <v>22</v>
      </c>
      <c r="B543">
        <v>116023.51</v>
      </c>
      <c r="C543">
        <v>96566.37</v>
      </c>
      <c r="D543" s="1">
        <v>43867</v>
      </c>
      <c r="E543" t="s">
        <v>51</v>
      </c>
      <c r="F543" t="s">
        <v>133</v>
      </c>
      <c r="G543" t="s">
        <v>25</v>
      </c>
      <c r="H543" t="s">
        <v>167</v>
      </c>
      <c r="I543" t="s">
        <v>27</v>
      </c>
      <c r="J543" t="s">
        <v>700</v>
      </c>
    </row>
    <row r="544" spans="1:10" x14ac:dyDescent="0.3">
      <c r="A544" t="s">
        <v>10</v>
      </c>
      <c r="B544">
        <v>83119.87</v>
      </c>
      <c r="C544">
        <v>69604.58</v>
      </c>
      <c r="D544" s="1">
        <v>43494</v>
      </c>
      <c r="E544" t="s">
        <v>40</v>
      </c>
      <c r="F544" t="s">
        <v>67</v>
      </c>
      <c r="G544" t="s">
        <v>13</v>
      </c>
      <c r="H544" t="s">
        <v>46</v>
      </c>
      <c r="I544" t="s">
        <v>27</v>
      </c>
      <c r="J544" t="s">
        <v>701</v>
      </c>
    </row>
    <row r="545" spans="1:10" x14ac:dyDescent="0.3">
      <c r="A545" t="s">
        <v>22</v>
      </c>
      <c r="B545">
        <v>126974.92</v>
      </c>
      <c r="C545">
        <v>101516.45</v>
      </c>
      <c r="D545" s="1">
        <v>43478</v>
      </c>
      <c r="E545" t="s">
        <v>11</v>
      </c>
      <c r="F545" t="s">
        <v>244</v>
      </c>
      <c r="G545" t="s">
        <v>25</v>
      </c>
      <c r="H545" t="s">
        <v>63</v>
      </c>
      <c r="I545" t="s">
        <v>27</v>
      </c>
      <c r="J545" t="s">
        <v>702</v>
      </c>
    </row>
    <row r="546" spans="1:10" x14ac:dyDescent="0.3">
      <c r="A546" t="s">
        <v>17</v>
      </c>
      <c r="B546">
        <v>40535.64</v>
      </c>
      <c r="C546">
        <v>35480.85</v>
      </c>
      <c r="D546" s="1">
        <v>43478</v>
      </c>
      <c r="E546" t="s">
        <v>29</v>
      </c>
      <c r="F546" t="s">
        <v>80</v>
      </c>
      <c r="G546" t="s">
        <v>19</v>
      </c>
      <c r="H546" t="s">
        <v>31</v>
      </c>
      <c r="I546" t="s">
        <v>27</v>
      </c>
      <c r="J546" t="s">
        <v>703</v>
      </c>
    </row>
    <row r="547" spans="1:10" x14ac:dyDescent="0.3">
      <c r="A547" t="s">
        <v>10</v>
      </c>
      <c r="B547">
        <v>88329.48</v>
      </c>
      <c r="C547">
        <v>73755.12</v>
      </c>
      <c r="D547" s="1">
        <v>44059</v>
      </c>
      <c r="E547" t="s">
        <v>40</v>
      </c>
      <c r="F547" t="s">
        <v>229</v>
      </c>
      <c r="G547" t="s">
        <v>13</v>
      </c>
      <c r="H547" t="s">
        <v>110</v>
      </c>
      <c r="I547" t="s">
        <v>32</v>
      </c>
      <c r="J547" t="s">
        <v>704</v>
      </c>
    </row>
    <row r="548" spans="1:10" x14ac:dyDescent="0.3">
      <c r="A548" t="s">
        <v>17</v>
      </c>
      <c r="B548">
        <v>42290.45</v>
      </c>
      <c r="C548">
        <v>34255.26</v>
      </c>
      <c r="D548" s="1">
        <v>43749</v>
      </c>
      <c r="E548" t="s">
        <v>40</v>
      </c>
      <c r="F548" t="s">
        <v>373</v>
      </c>
      <c r="G548" t="s">
        <v>19</v>
      </c>
      <c r="H548" t="s">
        <v>49</v>
      </c>
      <c r="I548" t="s">
        <v>15</v>
      </c>
      <c r="J548" t="s">
        <v>705</v>
      </c>
    </row>
    <row r="549" spans="1:10" x14ac:dyDescent="0.3">
      <c r="A549" t="s">
        <v>10</v>
      </c>
      <c r="B549">
        <v>100578.6</v>
      </c>
      <c r="C549">
        <v>83208.679999999993</v>
      </c>
      <c r="D549" s="1">
        <v>43479</v>
      </c>
      <c r="E549" t="s">
        <v>29</v>
      </c>
      <c r="F549" t="s">
        <v>41</v>
      </c>
      <c r="G549" t="s">
        <v>13</v>
      </c>
      <c r="H549" t="s">
        <v>110</v>
      </c>
      <c r="I549" t="s">
        <v>27</v>
      </c>
      <c r="J549" t="s">
        <v>706</v>
      </c>
    </row>
    <row r="550" spans="1:10" x14ac:dyDescent="0.3">
      <c r="A550" t="s">
        <v>122</v>
      </c>
      <c r="B550">
        <v>138153.70000000001</v>
      </c>
      <c r="C550">
        <v>112926.83</v>
      </c>
      <c r="D550" s="1">
        <v>43510</v>
      </c>
      <c r="E550" t="s">
        <v>11</v>
      </c>
      <c r="F550" t="s">
        <v>139</v>
      </c>
      <c r="G550" t="s">
        <v>123</v>
      </c>
      <c r="H550" t="s">
        <v>124</v>
      </c>
      <c r="I550" t="s">
        <v>27</v>
      </c>
      <c r="J550" t="s">
        <v>707</v>
      </c>
    </row>
    <row r="551" spans="1:10" x14ac:dyDescent="0.3">
      <c r="A551" t="s">
        <v>22</v>
      </c>
      <c r="B551">
        <v>120332.26</v>
      </c>
      <c r="C551">
        <v>102282.42</v>
      </c>
      <c r="D551" s="1">
        <v>43844</v>
      </c>
      <c r="E551" t="s">
        <v>40</v>
      </c>
      <c r="F551" t="s">
        <v>177</v>
      </c>
      <c r="G551" t="s">
        <v>25</v>
      </c>
      <c r="H551" t="s">
        <v>63</v>
      </c>
      <c r="I551" t="s">
        <v>15</v>
      </c>
      <c r="J551" t="s">
        <v>708</v>
      </c>
    </row>
    <row r="552" spans="1:10" x14ac:dyDescent="0.3">
      <c r="A552" t="s">
        <v>151</v>
      </c>
      <c r="B552">
        <v>85294.3</v>
      </c>
      <c r="C552">
        <v>72662.210000000006</v>
      </c>
      <c r="D552" s="1">
        <v>43915</v>
      </c>
      <c r="E552" t="s">
        <v>76</v>
      </c>
      <c r="F552" t="s">
        <v>109</v>
      </c>
      <c r="G552" t="s">
        <v>152</v>
      </c>
      <c r="H552" t="s">
        <v>197</v>
      </c>
      <c r="I552" t="s">
        <v>27</v>
      </c>
      <c r="J552" t="s">
        <v>709</v>
      </c>
    </row>
    <row r="553" spans="1:10" x14ac:dyDescent="0.3">
      <c r="A553" t="s">
        <v>17</v>
      </c>
      <c r="B553">
        <v>110878.97</v>
      </c>
      <c r="C553">
        <v>90588.12</v>
      </c>
      <c r="D553" s="1">
        <v>43984</v>
      </c>
      <c r="E553" t="s">
        <v>23</v>
      </c>
      <c r="F553" t="s">
        <v>12</v>
      </c>
      <c r="G553" t="s">
        <v>19</v>
      </c>
      <c r="H553" t="s">
        <v>20</v>
      </c>
      <c r="I553" t="s">
        <v>27</v>
      </c>
      <c r="J553" t="s">
        <v>710</v>
      </c>
    </row>
    <row r="554" spans="1:10" x14ac:dyDescent="0.3">
      <c r="A554" t="s">
        <v>151</v>
      </c>
      <c r="B554">
        <v>77278.679999999993</v>
      </c>
      <c r="C554">
        <v>62951.21</v>
      </c>
      <c r="D554" s="1">
        <v>43871</v>
      </c>
      <c r="E554" t="s">
        <v>51</v>
      </c>
      <c r="F554" t="s">
        <v>174</v>
      </c>
      <c r="G554" t="s">
        <v>152</v>
      </c>
      <c r="H554" t="s">
        <v>153</v>
      </c>
      <c r="I554" t="s">
        <v>27</v>
      </c>
      <c r="J554" t="s">
        <v>711</v>
      </c>
    </row>
    <row r="555" spans="1:10" x14ac:dyDescent="0.3">
      <c r="A555" t="s">
        <v>17</v>
      </c>
      <c r="B555">
        <v>141112.84</v>
      </c>
      <c r="C555">
        <v>120044.69</v>
      </c>
      <c r="D555" s="1">
        <v>44051</v>
      </c>
      <c r="E555" t="s">
        <v>29</v>
      </c>
      <c r="F555" t="s">
        <v>335</v>
      </c>
      <c r="G555" t="s">
        <v>19</v>
      </c>
      <c r="H555" t="s">
        <v>49</v>
      </c>
      <c r="I555" t="s">
        <v>32</v>
      </c>
      <c r="J555" t="s">
        <v>712</v>
      </c>
    </row>
    <row r="556" spans="1:10" x14ac:dyDescent="0.3">
      <c r="A556" t="s">
        <v>34</v>
      </c>
      <c r="B556">
        <v>173722.59</v>
      </c>
      <c r="C556">
        <v>148063.76</v>
      </c>
      <c r="D556" s="1">
        <v>43712</v>
      </c>
      <c r="E556" t="s">
        <v>11</v>
      </c>
      <c r="F556" t="s">
        <v>156</v>
      </c>
      <c r="G556" t="s">
        <v>36</v>
      </c>
      <c r="H556" t="s">
        <v>93</v>
      </c>
      <c r="I556" t="s">
        <v>27</v>
      </c>
      <c r="J556" t="s">
        <v>713</v>
      </c>
    </row>
    <row r="557" spans="1:10" x14ac:dyDescent="0.3">
      <c r="A557" t="s">
        <v>17</v>
      </c>
      <c r="B557">
        <v>47680.2</v>
      </c>
      <c r="C557">
        <v>40575.85</v>
      </c>
      <c r="D557" s="1">
        <v>43684</v>
      </c>
      <c r="E557" t="s">
        <v>40</v>
      </c>
      <c r="F557" t="s">
        <v>174</v>
      </c>
      <c r="G557" t="s">
        <v>19</v>
      </c>
      <c r="H557" t="s">
        <v>31</v>
      </c>
      <c r="I557" t="s">
        <v>27</v>
      </c>
      <c r="J557" t="s">
        <v>714</v>
      </c>
    </row>
    <row r="558" spans="1:10" x14ac:dyDescent="0.3">
      <c r="A558" t="s">
        <v>151</v>
      </c>
      <c r="B558">
        <v>50495.53</v>
      </c>
      <c r="C558">
        <v>40749.89</v>
      </c>
      <c r="D558" s="1">
        <v>44074</v>
      </c>
      <c r="E558" t="s">
        <v>51</v>
      </c>
      <c r="F558" t="s">
        <v>471</v>
      </c>
      <c r="G558" t="s">
        <v>152</v>
      </c>
      <c r="H558" t="s">
        <v>153</v>
      </c>
      <c r="I558" t="s">
        <v>32</v>
      </c>
      <c r="J558" t="s">
        <v>715</v>
      </c>
    </row>
    <row r="559" spans="1:10" x14ac:dyDescent="0.3">
      <c r="A559" t="s">
        <v>10</v>
      </c>
      <c r="B559">
        <v>114427.36</v>
      </c>
      <c r="C559">
        <v>93727.45</v>
      </c>
      <c r="D559" s="1">
        <v>44138</v>
      </c>
      <c r="E559" t="s">
        <v>99</v>
      </c>
      <c r="F559" t="s">
        <v>133</v>
      </c>
      <c r="G559" t="s">
        <v>13</v>
      </c>
      <c r="H559" t="s">
        <v>72</v>
      </c>
      <c r="I559" t="s">
        <v>27</v>
      </c>
      <c r="J559" t="s">
        <v>716</v>
      </c>
    </row>
    <row r="560" spans="1:10" x14ac:dyDescent="0.3">
      <c r="A560" t="s">
        <v>10</v>
      </c>
      <c r="B560">
        <v>44147.92</v>
      </c>
      <c r="C560">
        <v>37163.72</v>
      </c>
      <c r="D560" s="1">
        <v>43969</v>
      </c>
      <c r="E560" t="s">
        <v>76</v>
      </c>
      <c r="F560" t="s">
        <v>300</v>
      </c>
      <c r="G560" t="s">
        <v>13</v>
      </c>
      <c r="H560" t="s">
        <v>72</v>
      </c>
      <c r="I560" t="s">
        <v>27</v>
      </c>
      <c r="J560" t="s">
        <v>717</v>
      </c>
    </row>
    <row r="561" spans="1:10" x14ac:dyDescent="0.3">
      <c r="A561" t="s">
        <v>17</v>
      </c>
      <c r="B561">
        <v>37397.43</v>
      </c>
      <c r="C561">
        <v>30837.919999999998</v>
      </c>
      <c r="D561" s="1">
        <v>43968</v>
      </c>
      <c r="E561" t="s">
        <v>11</v>
      </c>
      <c r="F561" t="s">
        <v>24</v>
      </c>
      <c r="G561" t="s">
        <v>19</v>
      </c>
      <c r="H561" t="s">
        <v>49</v>
      </c>
      <c r="I561" t="s">
        <v>27</v>
      </c>
      <c r="J561" t="s">
        <v>718</v>
      </c>
    </row>
    <row r="562" spans="1:10" x14ac:dyDescent="0.3">
      <c r="A562" t="s">
        <v>22</v>
      </c>
      <c r="B562">
        <v>168773.6</v>
      </c>
      <c r="C562">
        <v>137398.59</v>
      </c>
      <c r="D562" s="1">
        <v>43699</v>
      </c>
      <c r="E562" t="s">
        <v>11</v>
      </c>
      <c r="F562" t="s">
        <v>133</v>
      </c>
      <c r="G562" t="s">
        <v>25</v>
      </c>
      <c r="H562" t="s">
        <v>26</v>
      </c>
      <c r="I562" t="s">
        <v>27</v>
      </c>
      <c r="J562" t="s">
        <v>719</v>
      </c>
    </row>
    <row r="563" spans="1:10" x14ac:dyDescent="0.3">
      <c r="A563" t="s">
        <v>10</v>
      </c>
      <c r="B563">
        <v>71049.09</v>
      </c>
      <c r="C563">
        <v>58842.86</v>
      </c>
      <c r="D563" s="1">
        <v>43692</v>
      </c>
      <c r="E563" t="s">
        <v>181</v>
      </c>
      <c r="F563" t="s">
        <v>229</v>
      </c>
      <c r="G563" t="s">
        <v>13</v>
      </c>
      <c r="H563" t="s">
        <v>72</v>
      </c>
      <c r="I563" t="s">
        <v>27</v>
      </c>
      <c r="J563" t="s">
        <v>720</v>
      </c>
    </row>
    <row r="564" spans="1:10" x14ac:dyDescent="0.3">
      <c r="A564" t="s">
        <v>17</v>
      </c>
      <c r="B564">
        <v>62788.04</v>
      </c>
      <c r="C564">
        <v>53049.61</v>
      </c>
      <c r="D564" s="1">
        <v>43874</v>
      </c>
      <c r="E564" t="s">
        <v>23</v>
      </c>
      <c r="F564" t="s">
        <v>97</v>
      </c>
      <c r="G564" t="s">
        <v>19</v>
      </c>
      <c r="H564" t="s">
        <v>49</v>
      </c>
      <c r="I564" t="s">
        <v>27</v>
      </c>
      <c r="J564" t="s">
        <v>721</v>
      </c>
    </row>
    <row r="565" spans="1:10" x14ac:dyDescent="0.3">
      <c r="A565" t="s">
        <v>17</v>
      </c>
      <c r="B565">
        <v>249915.21</v>
      </c>
      <c r="C565">
        <v>215326.95</v>
      </c>
      <c r="D565" s="1">
        <v>44180</v>
      </c>
      <c r="E565" t="s">
        <v>23</v>
      </c>
      <c r="F565" t="s">
        <v>126</v>
      </c>
      <c r="G565" t="s">
        <v>19</v>
      </c>
      <c r="H565" t="s">
        <v>31</v>
      </c>
      <c r="I565" t="s">
        <v>27</v>
      </c>
      <c r="J565" t="s">
        <v>722</v>
      </c>
    </row>
    <row r="566" spans="1:10" x14ac:dyDescent="0.3">
      <c r="A566" t="s">
        <v>129</v>
      </c>
      <c r="B566">
        <v>178189.57</v>
      </c>
      <c r="C566">
        <v>153421.22</v>
      </c>
      <c r="D566" s="1">
        <v>43716</v>
      </c>
      <c r="E566" t="s">
        <v>11</v>
      </c>
      <c r="F566" t="s">
        <v>56</v>
      </c>
      <c r="G566" t="s">
        <v>130</v>
      </c>
      <c r="H566" t="s">
        <v>131</v>
      </c>
      <c r="I566" t="s">
        <v>27</v>
      </c>
      <c r="J566" t="s">
        <v>723</v>
      </c>
    </row>
    <row r="567" spans="1:10" x14ac:dyDescent="0.3">
      <c r="A567" t="s">
        <v>10</v>
      </c>
      <c r="B567">
        <v>103839.74</v>
      </c>
      <c r="C567">
        <v>90683.24</v>
      </c>
      <c r="D567" s="1">
        <v>44066</v>
      </c>
      <c r="E567" t="s">
        <v>91</v>
      </c>
      <c r="F567" t="s">
        <v>35</v>
      </c>
      <c r="G567" t="s">
        <v>13</v>
      </c>
      <c r="H567" t="s">
        <v>14</v>
      </c>
      <c r="I567" t="s">
        <v>27</v>
      </c>
      <c r="J567" t="s">
        <v>724</v>
      </c>
    </row>
    <row r="568" spans="1:10" x14ac:dyDescent="0.3">
      <c r="A568" t="s">
        <v>22</v>
      </c>
      <c r="B568">
        <v>55132.39</v>
      </c>
      <c r="C568">
        <v>47121.65</v>
      </c>
      <c r="D568" s="1">
        <v>43775</v>
      </c>
      <c r="E568" t="s">
        <v>40</v>
      </c>
      <c r="F568" t="s">
        <v>92</v>
      </c>
      <c r="G568" t="s">
        <v>25</v>
      </c>
      <c r="H568" t="s">
        <v>63</v>
      </c>
      <c r="I568" t="s">
        <v>27</v>
      </c>
      <c r="J568" t="s">
        <v>725</v>
      </c>
    </row>
    <row r="569" spans="1:10" x14ac:dyDescent="0.3">
      <c r="A569" t="s">
        <v>22</v>
      </c>
      <c r="B569">
        <v>163492.16</v>
      </c>
      <c r="C569">
        <v>134178.01999999999</v>
      </c>
      <c r="D569" s="1">
        <v>44173</v>
      </c>
      <c r="E569" t="s">
        <v>23</v>
      </c>
      <c r="F569" t="s">
        <v>86</v>
      </c>
      <c r="G569" t="s">
        <v>25</v>
      </c>
      <c r="H569" t="s">
        <v>26</v>
      </c>
      <c r="I569" t="s">
        <v>27</v>
      </c>
      <c r="J569" t="s">
        <v>726</v>
      </c>
    </row>
    <row r="570" spans="1:10" x14ac:dyDescent="0.3">
      <c r="A570" t="s">
        <v>10</v>
      </c>
      <c r="B570">
        <v>36644.050000000003</v>
      </c>
      <c r="C570">
        <v>30491.51</v>
      </c>
      <c r="D570" s="1">
        <v>44155</v>
      </c>
      <c r="E570" t="s">
        <v>40</v>
      </c>
      <c r="F570" t="s">
        <v>244</v>
      </c>
      <c r="G570" t="s">
        <v>13</v>
      </c>
      <c r="H570" t="s">
        <v>110</v>
      </c>
      <c r="I570" t="s">
        <v>27</v>
      </c>
      <c r="J570" t="s">
        <v>727</v>
      </c>
    </row>
    <row r="571" spans="1:10" x14ac:dyDescent="0.3">
      <c r="A571" t="s">
        <v>10</v>
      </c>
      <c r="B571">
        <v>43158.94</v>
      </c>
      <c r="C571">
        <v>36244.879999999997</v>
      </c>
      <c r="D571" s="1">
        <v>43598</v>
      </c>
      <c r="E571" t="s">
        <v>29</v>
      </c>
      <c r="F571" t="s">
        <v>236</v>
      </c>
      <c r="G571" t="s">
        <v>13</v>
      </c>
      <c r="H571" t="s">
        <v>81</v>
      </c>
      <c r="I571" t="s">
        <v>27</v>
      </c>
      <c r="J571" t="s">
        <v>728</v>
      </c>
    </row>
    <row r="572" spans="1:10" x14ac:dyDescent="0.3">
      <c r="A572" t="s">
        <v>34</v>
      </c>
      <c r="B572">
        <v>227856.66</v>
      </c>
      <c r="C572">
        <v>199010.01</v>
      </c>
      <c r="D572" s="1">
        <v>44032</v>
      </c>
      <c r="E572" t="s">
        <v>29</v>
      </c>
      <c r="F572" t="s">
        <v>214</v>
      </c>
      <c r="G572" t="s">
        <v>36</v>
      </c>
      <c r="H572" t="s">
        <v>93</v>
      </c>
      <c r="I572" t="s">
        <v>27</v>
      </c>
      <c r="J572" t="s">
        <v>729</v>
      </c>
    </row>
    <row r="573" spans="1:10" x14ac:dyDescent="0.3">
      <c r="A573" t="s">
        <v>22</v>
      </c>
      <c r="B573">
        <v>162637.68</v>
      </c>
      <c r="C573">
        <v>130402.89</v>
      </c>
      <c r="D573" s="1">
        <v>43735</v>
      </c>
      <c r="E573" t="s">
        <v>40</v>
      </c>
      <c r="F573" t="s">
        <v>244</v>
      </c>
      <c r="G573" t="s">
        <v>25</v>
      </c>
      <c r="H573" t="s">
        <v>26</v>
      </c>
      <c r="I573" t="s">
        <v>27</v>
      </c>
      <c r="J573" t="s">
        <v>730</v>
      </c>
    </row>
    <row r="574" spans="1:10" x14ac:dyDescent="0.3">
      <c r="A574" t="s">
        <v>34</v>
      </c>
      <c r="B574">
        <v>304337.49</v>
      </c>
      <c r="C574">
        <v>261730.24</v>
      </c>
      <c r="D574" s="1">
        <v>43567</v>
      </c>
      <c r="E574" t="s">
        <v>40</v>
      </c>
      <c r="F574" t="s">
        <v>269</v>
      </c>
      <c r="G574" t="s">
        <v>36</v>
      </c>
      <c r="H574" t="s">
        <v>37</v>
      </c>
      <c r="I574" t="s">
        <v>27</v>
      </c>
      <c r="J574" t="s">
        <v>731</v>
      </c>
    </row>
    <row r="575" spans="1:10" x14ac:dyDescent="0.3">
      <c r="A575" t="s">
        <v>17</v>
      </c>
      <c r="B575">
        <v>63690.720000000001</v>
      </c>
      <c r="C575">
        <v>53455.62</v>
      </c>
      <c r="D575" s="1">
        <v>44070</v>
      </c>
      <c r="E575" t="s">
        <v>29</v>
      </c>
      <c r="F575" t="s">
        <v>24</v>
      </c>
      <c r="G575" t="s">
        <v>19</v>
      </c>
      <c r="H575" t="s">
        <v>31</v>
      </c>
      <c r="I575" t="s">
        <v>32</v>
      </c>
      <c r="J575" t="s">
        <v>732</v>
      </c>
    </row>
    <row r="576" spans="1:10" x14ac:dyDescent="0.3">
      <c r="A576" t="s">
        <v>10</v>
      </c>
      <c r="B576">
        <v>43243.45</v>
      </c>
      <c r="C576">
        <v>37764.5</v>
      </c>
      <c r="D576" s="1">
        <v>43601</v>
      </c>
      <c r="E576" t="s">
        <v>40</v>
      </c>
      <c r="F576" t="s">
        <v>56</v>
      </c>
      <c r="G576" t="s">
        <v>13</v>
      </c>
      <c r="H576" t="s">
        <v>46</v>
      </c>
      <c r="I576" t="s">
        <v>27</v>
      </c>
      <c r="J576" t="s">
        <v>733</v>
      </c>
    </row>
    <row r="577" spans="1:10" x14ac:dyDescent="0.3">
      <c r="A577" t="s">
        <v>34</v>
      </c>
      <c r="B577">
        <v>21921.66</v>
      </c>
      <c r="C577">
        <v>18802.21</v>
      </c>
      <c r="D577" s="1">
        <v>43954</v>
      </c>
      <c r="E577" t="s">
        <v>51</v>
      </c>
      <c r="F577" t="s">
        <v>135</v>
      </c>
      <c r="G577" t="s">
        <v>36</v>
      </c>
      <c r="H577" t="s">
        <v>93</v>
      </c>
      <c r="I577" t="s">
        <v>15</v>
      </c>
      <c r="J577" t="s">
        <v>734</v>
      </c>
    </row>
    <row r="578" spans="1:10" x14ac:dyDescent="0.3">
      <c r="A578" t="s">
        <v>10</v>
      </c>
      <c r="B578">
        <v>115151.22</v>
      </c>
      <c r="C578">
        <v>91430.07</v>
      </c>
      <c r="D578" s="1">
        <v>44129</v>
      </c>
      <c r="E578" t="s">
        <v>23</v>
      </c>
      <c r="F578" t="s">
        <v>400</v>
      </c>
      <c r="G578" t="s">
        <v>13</v>
      </c>
      <c r="H578" t="s">
        <v>72</v>
      </c>
      <c r="I578" t="s">
        <v>27</v>
      </c>
      <c r="J578" t="s">
        <v>735</v>
      </c>
    </row>
    <row r="579" spans="1:10" x14ac:dyDescent="0.3">
      <c r="A579" t="s">
        <v>10</v>
      </c>
      <c r="B579">
        <v>69565.47</v>
      </c>
      <c r="C579">
        <v>57808.91</v>
      </c>
      <c r="D579" s="1">
        <v>43974</v>
      </c>
      <c r="E579" t="s">
        <v>76</v>
      </c>
      <c r="F579" t="s">
        <v>56</v>
      </c>
      <c r="G579" t="s">
        <v>13</v>
      </c>
      <c r="H579" t="s">
        <v>81</v>
      </c>
      <c r="I579" t="s">
        <v>27</v>
      </c>
      <c r="J579" t="s">
        <v>736</v>
      </c>
    </row>
    <row r="580" spans="1:10" x14ac:dyDescent="0.3">
      <c r="A580" t="s">
        <v>143</v>
      </c>
      <c r="B580">
        <v>42028.45</v>
      </c>
      <c r="C580">
        <v>36299.97</v>
      </c>
      <c r="D580" s="1">
        <v>43833</v>
      </c>
      <c r="E580" t="s">
        <v>99</v>
      </c>
      <c r="F580" t="s">
        <v>106</v>
      </c>
      <c r="G580" t="s">
        <v>145</v>
      </c>
      <c r="H580" t="s">
        <v>146</v>
      </c>
      <c r="I580" t="s">
        <v>27</v>
      </c>
      <c r="J580" t="s">
        <v>737</v>
      </c>
    </row>
    <row r="581" spans="1:10" x14ac:dyDescent="0.3">
      <c r="A581" t="s">
        <v>22</v>
      </c>
      <c r="B581">
        <v>78461.13</v>
      </c>
      <c r="C581">
        <v>63537.82</v>
      </c>
      <c r="D581" s="1">
        <v>44109</v>
      </c>
      <c r="E581" t="s">
        <v>23</v>
      </c>
      <c r="F581" t="s">
        <v>106</v>
      </c>
      <c r="G581" t="s">
        <v>25</v>
      </c>
      <c r="H581" t="s">
        <v>167</v>
      </c>
      <c r="I581" t="s">
        <v>32</v>
      </c>
      <c r="J581" t="s">
        <v>738</v>
      </c>
    </row>
    <row r="582" spans="1:10" x14ac:dyDescent="0.3">
      <c r="A582" t="s">
        <v>17</v>
      </c>
      <c r="B582">
        <v>197471.1</v>
      </c>
      <c r="C582">
        <v>162577.96</v>
      </c>
      <c r="D582" s="1">
        <v>43644</v>
      </c>
      <c r="E582" t="s">
        <v>23</v>
      </c>
      <c r="F582" t="s">
        <v>56</v>
      </c>
      <c r="G582" t="s">
        <v>19</v>
      </c>
      <c r="H582" t="s">
        <v>31</v>
      </c>
      <c r="I582" t="s">
        <v>27</v>
      </c>
      <c r="J582" t="s">
        <v>739</v>
      </c>
    </row>
    <row r="583" spans="1:10" x14ac:dyDescent="0.3">
      <c r="A583" t="s">
        <v>22</v>
      </c>
      <c r="B583">
        <v>119937.47</v>
      </c>
      <c r="C583">
        <v>98720.53</v>
      </c>
      <c r="D583" s="1">
        <v>43690</v>
      </c>
      <c r="E583" t="s">
        <v>11</v>
      </c>
      <c r="F583" t="s">
        <v>302</v>
      </c>
      <c r="G583" t="s">
        <v>25</v>
      </c>
      <c r="H583" t="s">
        <v>52</v>
      </c>
      <c r="I583" t="s">
        <v>27</v>
      </c>
      <c r="J583" t="s">
        <v>740</v>
      </c>
    </row>
    <row r="584" spans="1:10" x14ac:dyDescent="0.3">
      <c r="A584" t="s">
        <v>10</v>
      </c>
      <c r="B584">
        <v>106076.67</v>
      </c>
      <c r="C584">
        <v>84765.87</v>
      </c>
      <c r="D584" s="1">
        <v>43748</v>
      </c>
      <c r="E584" t="s">
        <v>29</v>
      </c>
      <c r="F584" t="s">
        <v>164</v>
      </c>
      <c r="G584" t="s">
        <v>13</v>
      </c>
      <c r="H584" t="s">
        <v>72</v>
      </c>
      <c r="I584" t="s">
        <v>32</v>
      </c>
      <c r="J584" t="s">
        <v>741</v>
      </c>
    </row>
    <row r="585" spans="1:10" x14ac:dyDescent="0.3">
      <c r="A585" t="s">
        <v>17</v>
      </c>
      <c r="B585">
        <v>75522.66</v>
      </c>
      <c r="C585">
        <v>60448.34</v>
      </c>
      <c r="D585" s="1">
        <v>43537</v>
      </c>
      <c r="E585" t="s">
        <v>51</v>
      </c>
      <c r="F585" t="s">
        <v>229</v>
      </c>
      <c r="G585" t="s">
        <v>19</v>
      </c>
      <c r="H585" t="s">
        <v>31</v>
      </c>
      <c r="I585" t="s">
        <v>27</v>
      </c>
      <c r="J585" t="s">
        <v>742</v>
      </c>
    </row>
    <row r="586" spans="1:10" x14ac:dyDescent="0.3">
      <c r="A586" t="s">
        <v>34</v>
      </c>
      <c r="B586">
        <v>119769.22</v>
      </c>
      <c r="C586">
        <v>98234.71</v>
      </c>
      <c r="D586" s="1">
        <v>44136</v>
      </c>
      <c r="E586" t="s">
        <v>91</v>
      </c>
      <c r="F586" t="s">
        <v>144</v>
      </c>
      <c r="G586" t="s">
        <v>36</v>
      </c>
      <c r="H586" t="s">
        <v>93</v>
      </c>
      <c r="I586" t="s">
        <v>27</v>
      </c>
      <c r="J586" t="s">
        <v>743</v>
      </c>
    </row>
    <row r="587" spans="1:10" x14ac:dyDescent="0.3">
      <c r="A587" t="s">
        <v>17</v>
      </c>
      <c r="B587">
        <v>168197.78</v>
      </c>
      <c r="C587">
        <v>144246.42000000001</v>
      </c>
      <c r="D587" s="1">
        <v>43478</v>
      </c>
      <c r="E587" t="s">
        <v>51</v>
      </c>
      <c r="F587" t="s">
        <v>80</v>
      </c>
      <c r="G587" t="s">
        <v>19</v>
      </c>
      <c r="H587" t="s">
        <v>31</v>
      </c>
      <c r="I587" t="s">
        <v>27</v>
      </c>
      <c r="J587" t="s">
        <v>744</v>
      </c>
    </row>
    <row r="588" spans="1:10" x14ac:dyDescent="0.3">
      <c r="A588" t="s">
        <v>17</v>
      </c>
      <c r="B588">
        <v>68773.03</v>
      </c>
      <c r="C588">
        <v>59082.91</v>
      </c>
      <c r="D588" s="1">
        <v>43738</v>
      </c>
      <c r="E588" t="s">
        <v>11</v>
      </c>
      <c r="F588" t="s">
        <v>106</v>
      </c>
      <c r="G588" t="s">
        <v>19</v>
      </c>
      <c r="H588" t="s">
        <v>20</v>
      </c>
      <c r="I588" t="s">
        <v>27</v>
      </c>
      <c r="J588" t="s">
        <v>745</v>
      </c>
    </row>
    <row r="589" spans="1:10" x14ac:dyDescent="0.3">
      <c r="A589" t="s">
        <v>10</v>
      </c>
      <c r="B589">
        <v>62272.959999999999</v>
      </c>
      <c r="C589">
        <v>54600.93</v>
      </c>
      <c r="D589" s="1">
        <v>43516</v>
      </c>
      <c r="E589" t="s">
        <v>76</v>
      </c>
      <c r="F589" t="s">
        <v>164</v>
      </c>
      <c r="G589" t="s">
        <v>13</v>
      </c>
      <c r="H589" t="s">
        <v>110</v>
      </c>
      <c r="I589" t="s">
        <v>27</v>
      </c>
      <c r="J589" t="s">
        <v>746</v>
      </c>
    </row>
    <row r="590" spans="1:10" x14ac:dyDescent="0.3">
      <c r="A590" t="s">
        <v>17</v>
      </c>
      <c r="B590">
        <v>165118.74</v>
      </c>
      <c r="C590">
        <v>137527.4</v>
      </c>
      <c r="D590" s="1">
        <v>43507</v>
      </c>
      <c r="E590" t="s">
        <v>40</v>
      </c>
      <c r="F590" t="s">
        <v>195</v>
      </c>
      <c r="G590" t="s">
        <v>19</v>
      </c>
      <c r="H590" t="s">
        <v>20</v>
      </c>
      <c r="I590" t="s">
        <v>27</v>
      </c>
      <c r="J590" t="s">
        <v>747</v>
      </c>
    </row>
    <row r="591" spans="1:10" x14ac:dyDescent="0.3">
      <c r="A591" t="s">
        <v>22</v>
      </c>
      <c r="B591">
        <v>122035.93</v>
      </c>
      <c r="C591">
        <v>97897.22</v>
      </c>
      <c r="D591" s="1">
        <v>44003</v>
      </c>
      <c r="E591" t="s">
        <v>55</v>
      </c>
      <c r="F591" t="s">
        <v>244</v>
      </c>
      <c r="G591" t="s">
        <v>25</v>
      </c>
      <c r="H591" t="s">
        <v>52</v>
      </c>
      <c r="I591" t="s">
        <v>27</v>
      </c>
      <c r="J591" t="s">
        <v>748</v>
      </c>
    </row>
    <row r="592" spans="1:10" x14ac:dyDescent="0.3">
      <c r="A592" t="s">
        <v>10</v>
      </c>
      <c r="B592">
        <v>117733.51</v>
      </c>
      <c r="C592">
        <v>97294.97</v>
      </c>
      <c r="D592" s="1">
        <v>43659</v>
      </c>
      <c r="E592" t="s">
        <v>29</v>
      </c>
      <c r="F592" t="s">
        <v>48</v>
      </c>
      <c r="G592" t="s">
        <v>13</v>
      </c>
      <c r="H592" t="s">
        <v>14</v>
      </c>
      <c r="I592" t="s">
        <v>27</v>
      </c>
      <c r="J592" t="s">
        <v>749</v>
      </c>
    </row>
    <row r="593" spans="1:10" x14ac:dyDescent="0.3">
      <c r="A593" t="s">
        <v>10</v>
      </c>
      <c r="B593">
        <v>240759.07</v>
      </c>
      <c r="C593">
        <v>205415.64</v>
      </c>
      <c r="D593" s="1">
        <v>43996</v>
      </c>
      <c r="E593" t="s">
        <v>23</v>
      </c>
      <c r="F593" t="s">
        <v>308</v>
      </c>
      <c r="G593" t="s">
        <v>13</v>
      </c>
      <c r="H593" t="s">
        <v>14</v>
      </c>
      <c r="I593" t="s">
        <v>27</v>
      </c>
      <c r="J593" t="s">
        <v>750</v>
      </c>
    </row>
    <row r="594" spans="1:10" x14ac:dyDescent="0.3">
      <c r="A594" t="s">
        <v>22</v>
      </c>
      <c r="B594">
        <v>147895.45000000001</v>
      </c>
      <c r="C594">
        <v>120416.48</v>
      </c>
      <c r="D594" s="1">
        <v>43472</v>
      </c>
      <c r="E594" t="s">
        <v>40</v>
      </c>
      <c r="F594" t="s">
        <v>18</v>
      </c>
      <c r="G594" t="s">
        <v>25</v>
      </c>
      <c r="H594" t="s">
        <v>63</v>
      </c>
      <c r="I594" t="s">
        <v>32</v>
      </c>
      <c r="J594" t="s">
        <v>751</v>
      </c>
    </row>
    <row r="595" spans="1:10" x14ac:dyDescent="0.3">
      <c r="A595" t="s">
        <v>10</v>
      </c>
      <c r="B595">
        <v>205059.8</v>
      </c>
      <c r="C595">
        <v>173029.46</v>
      </c>
      <c r="D595" s="1">
        <v>44005</v>
      </c>
      <c r="E595" t="s">
        <v>29</v>
      </c>
      <c r="F595" t="s">
        <v>225</v>
      </c>
      <c r="G595" t="s">
        <v>13</v>
      </c>
      <c r="H595" t="s">
        <v>110</v>
      </c>
      <c r="I595" t="s">
        <v>27</v>
      </c>
      <c r="J595" t="s">
        <v>752</v>
      </c>
    </row>
    <row r="596" spans="1:10" x14ac:dyDescent="0.3">
      <c r="A596" t="s">
        <v>122</v>
      </c>
      <c r="B596">
        <v>81482.69</v>
      </c>
      <c r="C596">
        <v>64721.7</v>
      </c>
      <c r="D596" s="1">
        <v>43710</v>
      </c>
      <c r="E596" t="s">
        <v>29</v>
      </c>
      <c r="F596" t="s">
        <v>56</v>
      </c>
      <c r="G596" t="s">
        <v>123</v>
      </c>
      <c r="H596" t="s">
        <v>254</v>
      </c>
      <c r="I596" t="s">
        <v>27</v>
      </c>
      <c r="J596" t="s">
        <v>753</v>
      </c>
    </row>
    <row r="597" spans="1:10" x14ac:dyDescent="0.3">
      <c r="A597" t="s">
        <v>17</v>
      </c>
      <c r="B597">
        <v>168226.52</v>
      </c>
      <c r="C597">
        <v>136818.63</v>
      </c>
      <c r="D597" s="1">
        <v>43855</v>
      </c>
      <c r="E597" t="s">
        <v>51</v>
      </c>
      <c r="F597" t="s">
        <v>97</v>
      </c>
      <c r="G597" t="s">
        <v>19</v>
      </c>
      <c r="H597" t="s">
        <v>49</v>
      </c>
      <c r="I597" t="s">
        <v>27</v>
      </c>
      <c r="J597" t="s">
        <v>754</v>
      </c>
    </row>
    <row r="598" spans="1:10" x14ac:dyDescent="0.3">
      <c r="A598" t="s">
        <v>22</v>
      </c>
      <c r="B598">
        <v>201573.23</v>
      </c>
      <c r="C598">
        <v>166116.5</v>
      </c>
      <c r="D598" s="1">
        <v>43597</v>
      </c>
      <c r="E598" t="s">
        <v>11</v>
      </c>
      <c r="F598" t="s">
        <v>755</v>
      </c>
      <c r="G598" t="s">
        <v>25</v>
      </c>
      <c r="H598" t="s">
        <v>26</v>
      </c>
      <c r="I598" t="s">
        <v>32</v>
      </c>
      <c r="J598" t="s">
        <v>756</v>
      </c>
    </row>
    <row r="599" spans="1:10" x14ac:dyDescent="0.3">
      <c r="A599" t="s">
        <v>22</v>
      </c>
      <c r="B599">
        <v>172989.17</v>
      </c>
      <c r="C599">
        <v>142975.54999999999</v>
      </c>
      <c r="D599" s="1">
        <v>44110</v>
      </c>
      <c r="E599" t="s">
        <v>76</v>
      </c>
      <c r="F599" t="s">
        <v>45</v>
      </c>
      <c r="G599" t="s">
        <v>25</v>
      </c>
      <c r="H599" t="s">
        <v>63</v>
      </c>
      <c r="I599" t="s">
        <v>27</v>
      </c>
      <c r="J599" t="s">
        <v>757</v>
      </c>
    </row>
    <row r="600" spans="1:10" x14ac:dyDescent="0.3">
      <c r="A600" t="s">
        <v>22</v>
      </c>
      <c r="B600">
        <v>158240.24</v>
      </c>
      <c r="C600">
        <v>136561.32999999999</v>
      </c>
      <c r="D600" s="1">
        <v>44158</v>
      </c>
      <c r="E600" t="s">
        <v>91</v>
      </c>
      <c r="F600" t="s">
        <v>106</v>
      </c>
      <c r="G600" t="s">
        <v>25</v>
      </c>
      <c r="H600" t="s">
        <v>87</v>
      </c>
      <c r="I600" t="s">
        <v>27</v>
      </c>
      <c r="J600" t="s">
        <v>758</v>
      </c>
    </row>
    <row r="601" spans="1:10" x14ac:dyDescent="0.3">
      <c r="A601" t="s">
        <v>17</v>
      </c>
      <c r="B601">
        <v>173478.65</v>
      </c>
      <c r="C601">
        <v>139650.31</v>
      </c>
      <c r="D601" s="1">
        <v>43494</v>
      </c>
      <c r="E601" t="s">
        <v>91</v>
      </c>
      <c r="F601" t="s">
        <v>56</v>
      </c>
      <c r="G601" t="s">
        <v>19</v>
      </c>
      <c r="H601" t="s">
        <v>49</v>
      </c>
      <c r="I601" t="s">
        <v>27</v>
      </c>
      <c r="J601" t="s">
        <v>759</v>
      </c>
    </row>
    <row r="602" spans="1:10" x14ac:dyDescent="0.3">
      <c r="A602" t="s">
        <v>122</v>
      </c>
      <c r="B602">
        <v>174271.91</v>
      </c>
      <c r="C602">
        <v>142083.89000000001</v>
      </c>
      <c r="D602" s="1">
        <v>43605</v>
      </c>
      <c r="E602" t="s">
        <v>40</v>
      </c>
      <c r="F602" t="s">
        <v>106</v>
      </c>
      <c r="G602" t="s">
        <v>123</v>
      </c>
      <c r="H602" t="s">
        <v>254</v>
      </c>
      <c r="I602" t="s">
        <v>27</v>
      </c>
      <c r="J602" t="s">
        <v>760</v>
      </c>
    </row>
    <row r="603" spans="1:10" x14ac:dyDescent="0.3">
      <c r="A603" t="s">
        <v>151</v>
      </c>
      <c r="B603">
        <v>55539.67</v>
      </c>
      <c r="C603">
        <v>45620.29</v>
      </c>
      <c r="D603" s="1">
        <v>43911</v>
      </c>
      <c r="E603" t="s">
        <v>29</v>
      </c>
      <c r="F603" t="s">
        <v>97</v>
      </c>
      <c r="G603" t="s">
        <v>152</v>
      </c>
      <c r="H603" t="s">
        <v>153</v>
      </c>
      <c r="I603" t="s">
        <v>27</v>
      </c>
      <c r="J603" t="s">
        <v>761</v>
      </c>
    </row>
    <row r="604" spans="1:10" x14ac:dyDescent="0.3">
      <c r="A604" t="s">
        <v>22</v>
      </c>
      <c r="B604">
        <v>57120.58</v>
      </c>
      <c r="C604" t="s">
        <v>1163</v>
      </c>
      <c r="D604" s="1">
        <v>43794</v>
      </c>
      <c r="E604" t="s">
        <v>11</v>
      </c>
      <c r="F604" t="s">
        <v>227</v>
      </c>
      <c r="G604" t="s">
        <v>25</v>
      </c>
      <c r="H604" t="s">
        <v>52</v>
      </c>
      <c r="I604" t="s">
        <v>27</v>
      </c>
      <c r="J604" t="s">
        <v>762</v>
      </c>
    </row>
    <row r="605" spans="1:10" x14ac:dyDescent="0.3">
      <c r="A605" t="s">
        <v>10</v>
      </c>
      <c r="B605">
        <v>36749.51</v>
      </c>
      <c r="C605">
        <v>30101.52</v>
      </c>
      <c r="D605" s="1">
        <v>44119</v>
      </c>
      <c r="E605" t="s">
        <v>11</v>
      </c>
      <c r="F605" t="s">
        <v>256</v>
      </c>
      <c r="G605" t="s">
        <v>13</v>
      </c>
      <c r="H605" t="s">
        <v>72</v>
      </c>
      <c r="I605" t="s">
        <v>27</v>
      </c>
      <c r="J605" t="s">
        <v>763</v>
      </c>
    </row>
    <row r="606" spans="1:10" x14ac:dyDescent="0.3">
      <c r="A606" t="s">
        <v>34</v>
      </c>
      <c r="B606">
        <v>19949.11</v>
      </c>
      <c r="C606">
        <v>16364.25</v>
      </c>
      <c r="D606" s="1">
        <v>43521</v>
      </c>
      <c r="E606" t="s">
        <v>76</v>
      </c>
      <c r="F606" t="s">
        <v>195</v>
      </c>
      <c r="G606" t="s">
        <v>36</v>
      </c>
      <c r="H606" t="s">
        <v>104</v>
      </c>
      <c r="I606" t="s">
        <v>15</v>
      </c>
      <c r="J606" t="s">
        <v>764</v>
      </c>
    </row>
    <row r="607" spans="1:10" x14ac:dyDescent="0.3">
      <c r="A607" t="s">
        <v>17</v>
      </c>
      <c r="B607">
        <v>105522.72</v>
      </c>
      <c r="C607">
        <v>86581.39</v>
      </c>
      <c r="D607" s="1">
        <v>43512</v>
      </c>
      <c r="E607" t="s">
        <v>40</v>
      </c>
      <c r="F607" t="s">
        <v>335</v>
      </c>
      <c r="G607" t="s">
        <v>19</v>
      </c>
      <c r="H607" t="s">
        <v>20</v>
      </c>
      <c r="I607" t="s">
        <v>27</v>
      </c>
      <c r="J607" t="s">
        <v>765</v>
      </c>
    </row>
    <row r="608" spans="1:10" x14ac:dyDescent="0.3">
      <c r="A608" t="s">
        <v>22</v>
      </c>
      <c r="B608">
        <v>131018.65</v>
      </c>
      <c r="C608">
        <v>107920.06</v>
      </c>
      <c r="D608" s="1">
        <v>43865</v>
      </c>
      <c r="E608" t="s">
        <v>40</v>
      </c>
      <c r="F608" t="s">
        <v>434</v>
      </c>
      <c r="G608" t="s">
        <v>25</v>
      </c>
      <c r="H608" t="s">
        <v>87</v>
      </c>
      <c r="I608" t="s">
        <v>27</v>
      </c>
      <c r="J608" t="s">
        <v>766</v>
      </c>
    </row>
    <row r="609" spans="1:10" x14ac:dyDescent="0.3">
      <c r="A609" t="s">
        <v>17</v>
      </c>
      <c r="B609">
        <v>56705.66</v>
      </c>
      <c r="C609">
        <v>46986.31</v>
      </c>
      <c r="D609" s="1">
        <v>43467</v>
      </c>
      <c r="E609" t="s">
        <v>181</v>
      </c>
      <c r="F609" t="s">
        <v>56</v>
      </c>
      <c r="G609" t="s">
        <v>19</v>
      </c>
      <c r="H609" t="s">
        <v>31</v>
      </c>
      <c r="I609" t="s">
        <v>27</v>
      </c>
      <c r="J609" t="s">
        <v>767</v>
      </c>
    </row>
    <row r="610" spans="1:10" x14ac:dyDescent="0.3">
      <c r="A610" t="s">
        <v>22</v>
      </c>
      <c r="B610">
        <v>148212.23000000001</v>
      </c>
      <c r="C610">
        <v>123030.97</v>
      </c>
      <c r="D610" s="1">
        <v>43747</v>
      </c>
      <c r="E610" t="s">
        <v>40</v>
      </c>
      <c r="F610" t="s">
        <v>229</v>
      </c>
      <c r="G610" t="s">
        <v>25</v>
      </c>
      <c r="H610" t="s">
        <v>87</v>
      </c>
      <c r="I610" t="s">
        <v>27</v>
      </c>
      <c r="J610" t="s">
        <v>768</v>
      </c>
    </row>
    <row r="611" spans="1:10" x14ac:dyDescent="0.3">
      <c r="A611" t="s">
        <v>17</v>
      </c>
      <c r="B611">
        <v>138175.53</v>
      </c>
      <c r="C611">
        <v>116744.51</v>
      </c>
      <c r="D611" s="1">
        <v>43901</v>
      </c>
      <c r="E611" t="s">
        <v>99</v>
      </c>
      <c r="F611" t="s">
        <v>102</v>
      </c>
      <c r="G611" t="s">
        <v>19</v>
      </c>
      <c r="H611" t="s">
        <v>157</v>
      </c>
      <c r="I611" t="s">
        <v>27</v>
      </c>
      <c r="J611" t="s">
        <v>769</v>
      </c>
    </row>
    <row r="612" spans="1:10" x14ac:dyDescent="0.3">
      <c r="A612" t="s">
        <v>151</v>
      </c>
      <c r="B612">
        <v>135424.06</v>
      </c>
      <c r="C612">
        <v>116275.1</v>
      </c>
      <c r="D612" s="1">
        <v>43845</v>
      </c>
      <c r="E612" t="s">
        <v>29</v>
      </c>
      <c r="F612" t="s">
        <v>71</v>
      </c>
      <c r="G612" t="s">
        <v>152</v>
      </c>
      <c r="H612" t="s">
        <v>153</v>
      </c>
      <c r="I612" t="s">
        <v>27</v>
      </c>
      <c r="J612" t="s">
        <v>770</v>
      </c>
    </row>
    <row r="613" spans="1:10" x14ac:dyDescent="0.3">
      <c r="A613" t="s">
        <v>151</v>
      </c>
      <c r="B613">
        <v>58921.31</v>
      </c>
      <c r="C613">
        <v>51715.23</v>
      </c>
      <c r="D613" s="1">
        <v>44178</v>
      </c>
      <c r="E613" t="s">
        <v>11</v>
      </c>
      <c r="F613" t="s">
        <v>56</v>
      </c>
      <c r="G613" t="s">
        <v>152</v>
      </c>
      <c r="H613" t="s">
        <v>197</v>
      </c>
      <c r="I613" t="s">
        <v>27</v>
      </c>
      <c r="J613" t="s">
        <v>771</v>
      </c>
    </row>
    <row r="614" spans="1:10" x14ac:dyDescent="0.3">
      <c r="A614" t="s">
        <v>10</v>
      </c>
      <c r="B614">
        <v>74273.539999999994</v>
      </c>
      <c r="C614">
        <v>61981.27</v>
      </c>
      <c r="D614" s="1">
        <v>43918</v>
      </c>
      <c r="E614" t="s">
        <v>76</v>
      </c>
      <c r="F614" t="s">
        <v>135</v>
      </c>
      <c r="G614" t="s">
        <v>13</v>
      </c>
      <c r="H614" t="s">
        <v>110</v>
      </c>
      <c r="I614" t="s">
        <v>27</v>
      </c>
      <c r="J614" t="s">
        <v>772</v>
      </c>
    </row>
    <row r="615" spans="1:10" x14ac:dyDescent="0.3">
      <c r="A615" t="s">
        <v>10</v>
      </c>
      <c r="B615">
        <v>116469.33</v>
      </c>
      <c r="C615">
        <v>95190.38</v>
      </c>
      <c r="D615" s="1">
        <v>43861</v>
      </c>
      <c r="E615" t="s">
        <v>181</v>
      </c>
      <c r="F615" t="s">
        <v>285</v>
      </c>
      <c r="G615" t="s">
        <v>13</v>
      </c>
      <c r="H615" t="s">
        <v>110</v>
      </c>
      <c r="I615" t="s">
        <v>27</v>
      </c>
      <c r="J615" t="s">
        <v>773</v>
      </c>
    </row>
    <row r="616" spans="1:10" x14ac:dyDescent="0.3">
      <c r="A616" t="s">
        <v>22</v>
      </c>
      <c r="B616">
        <v>149514</v>
      </c>
      <c r="C616">
        <v>122646.33</v>
      </c>
      <c r="D616" s="1">
        <v>44122</v>
      </c>
      <c r="E616" t="s">
        <v>11</v>
      </c>
      <c r="F616" t="s">
        <v>144</v>
      </c>
      <c r="G616" t="s">
        <v>25</v>
      </c>
      <c r="H616" t="s">
        <v>167</v>
      </c>
      <c r="I616" t="s">
        <v>32</v>
      </c>
      <c r="J616" t="s">
        <v>774</v>
      </c>
    </row>
    <row r="617" spans="1:10" x14ac:dyDescent="0.3">
      <c r="A617" t="s">
        <v>10</v>
      </c>
      <c r="B617">
        <v>161192.45000000001</v>
      </c>
      <c r="C617">
        <v>135965.82999999999</v>
      </c>
      <c r="D617" s="1">
        <v>43562</v>
      </c>
      <c r="E617" t="s">
        <v>40</v>
      </c>
      <c r="F617" t="s">
        <v>18</v>
      </c>
      <c r="G617" t="s">
        <v>13</v>
      </c>
      <c r="H617" t="s">
        <v>14</v>
      </c>
      <c r="I617" t="s">
        <v>27</v>
      </c>
      <c r="J617" t="s">
        <v>775</v>
      </c>
    </row>
    <row r="618" spans="1:10" x14ac:dyDescent="0.3">
      <c r="A618" t="s">
        <v>17</v>
      </c>
      <c r="B618">
        <v>84194.21</v>
      </c>
      <c r="C618">
        <v>71885.02</v>
      </c>
      <c r="D618" s="1">
        <v>44191</v>
      </c>
      <c r="E618" t="s">
        <v>91</v>
      </c>
      <c r="F618" t="s">
        <v>109</v>
      </c>
      <c r="G618" t="s">
        <v>19</v>
      </c>
      <c r="H618" t="s">
        <v>49</v>
      </c>
      <c r="I618" t="s">
        <v>32</v>
      </c>
      <c r="J618" t="s">
        <v>776</v>
      </c>
    </row>
    <row r="619" spans="1:10" x14ac:dyDescent="0.3">
      <c r="A619" t="s">
        <v>17</v>
      </c>
      <c r="B619">
        <v>163401.23000000001</v>
      </c>
      <c r="C619">
        <v>139413.93</v>
      </c>
      <c r="D619" s="1">
        <v>43577</v>
      </c>
      <c r="E619" t="s">
        <v>40</v>
      </c>
      <c r="F619" t="s">
        <v>18</v>
      </c>
      <c r="G619" t="s">
        <v>19</v>
      </c>
      <c r="H619" t="s">
        <v>49</v>
      </c>
      <c r="I619" t="s">
        <v>27</v>
      </c>
      <c r="J619" t="s">
        <v>777</v>
      </c>
    </row>
    <row r="620" spans="1:10" x14ac:dyDescent="0.3">
      <c r="A620" t="s">
        <v>22</v>
      </c>
      <c r="B620">
        <v>131610.37</v>
      </c>
      <c r="C620">
        <v>106406.98</v>
      </c>
      <c r="D620" s="1">
        <v>43951</v>
      </c>
      <c r="E620" t="s">
        <v>76</v>
      </c>
      <c r="F620" t="s">
        <v>67</v>
      </c>
      <c r="G620" t="s">
        <v>25</v>
      </c>
      <c r="H620" t="s">
        <v>26</v>
      </c>
      <c r="I620" t="s">
        <v>27</v>
      </c>
      <c r="J620" t="s">
        <v>778</v>
      </c>
    </row>
    <row r="621" spans="1:10" x14ac:dyDescent="0.3">
      <c r="A621" t="s">
        <v>17</v>
      </c>
      <c r="B621">
        <v>110090.36</v>
      </c>
      <c r="C621">
        <v>93433.69</v>
      </c>
      <c r="D621" s="1">
        <v>43467</v>
      </c>
      <c r="E621" t="s">
        <v>40</v>
      </c>
      <c r="F621" t="s">
        <v>227</v>
      </c>
      <c r="G621" t="s">
        <v>19</v>
      </c>
      <c r="H621" t="s">
        <v>78</v>
      </c>
      <c r="I621" t="s">
        <v>27</v>
      </c>
      <c r="J621" t="s">
        <v>779</v>
      </c>
    </row>
    <row r="622" spans="1:10" x14ac:dyDescent="0.3">
      <c r="A622" t="s">
        <v>34</v>
      </c>
      <c r="B622">
        <v>169629.55</v>
      </c>
      <c r="C622">
        <v>135347.42000000001</v>
      </c>
      <c r="D622" s="1">
        <v>43761</v>
      </c>
      <c r="E622" t="s">
        <v>181</v>
      </c>
      <c r="F622" t="s">
        <v>56</v>
      </c>
      <c r="G622" t="s">
        <v>36</v>
      </c>
      <c r="H622" t="s">
        <v>93</v>
      </c>
      <c r="I622" t="s">
        <v>27</v>
      </c>
      <c r="J622" t="s">
        <v>780</v>
      </c>
    </row>
    <row r="623" spans="1:10" x14ac:dyDescent="0.3">
      <c r="A623" t="s">
        <v>10</v>
      </c>
      <c r="B623">
        <v>185778.3</v>
      </c>
      <c r="C623">
        <v>154734.75</v>
      </c>
      <c r="D623" s="1">
        <v>44007</v>
      </c>
      <c r="E623" t="s">
        <v>29</v>
      </c>
      <c r="F623" t="s">
        <v>60</v>
      </c>
      <c r="G623" t="s">
        <v>13</v>
      </c>
      <c r="H623" t="s">
        <v>14</v>
      </c>
      <c r="I623" t="s">
        <v>27</v>
      </c>
      <c r="J623" t="s">
        <v>781</v>
      </c>
    </row>
    <row r="624" spans="1:10" x14ac:dyDescent="0.3">
      <c r="A624" t="s">
        <v>22</v>
      </c>
      <c r="B624">
        <v>147656.51999999999</v>
      </c>
      <c r="C624">
        <v>124193.9</v>
      </c>
      <c r="D624" s="1">
        <v>43591</v>
      </c>
      <c r="E624" t="s">
        <v>51</v>
      </c>
      <c r="F624" t="s">
        <v>272</v>
      </c>
      <c r="G624" t="s">
        <v>25</v>
      </c>
      <c r="H624" t="s">
        <v>26</v>
      </c>
      <c r="I624" t="s">
        <v>27</v>
      </c>
      <c r="J624" t="s">
        <v>782</v>
      </c>
    </row>
    <row r="625" spans="1:10" x14ac:dyDescent="0.3">
      <c r="A625" t="s">
        <v>10</v>
      </c>
      <c r="B625">
        <v>296844.24</v>
      </c>
      <c r="C625">
        <v>244926.18</v>
      </c>
      <c r="D625" s="1">
        <v>43683</v>
      </c>
      <c r="E625" t="s">
        <v>99</v>
      </c>
      <c r="F625" t="s">
        <v>373</v>
      </c>
      <c r="G625" t="s">
        <v>13</v>
      </c>
      <c r="H625" t="s">
        <v>14</v>
      </c>
      <c r="I625" t="s">
        <v>27</v>
      </c>
      <c r="J625" t="s">
        <v>783</v>
      </c>
    </row>
    <row r="626" spans="1:10" x14ac:dyDescent="0.3">
      <c r="A626" t="s">
        <v>22</v>
      </c>
      <c r="B626">
        <v>179323.22</v>
      </c>
      <c r="C626">
        <v>150739.1</v>
      </c>
      <c r="D626" s="1">
        <v>44051</v>
      </c>
      <c r="E626" t="s">
        <v>51</v>
      </c>
      <c r="F626" t="s">
        <v>189</v>
      </c>
      <c r="G626" t="s">
        <v>25</v>
      </c>
      <c r="H626" t="s">
        <v>87</v>
      </c>
      <c r="I626" t="s">
        <v>15</v>
      </c>
      <c r="J626" t="s">
        <v>784</v>
      </c>
    </row>
    <row r="627" spans="1:10" x14ac:dyDescent="0.3">
      <c r="A627" t="s">
        <v>216</v>
      </c>
      <c r="B627">
        <v>203231.73</v>
      </c>
      <c r="C627">
        <v>163052.82</v>
      </c>
      <c r="D627" s="1">
        <v>43822</v>
      </c>
      <c r="E627" t="s">
        <v>91</v>
      </c>
      <c r="F627" t="s">
        <v>755</v>
      </c>
      <c r="G627" t="s">
        <v>217</v>
      </c>
      <c r="H627" t="s">
        <v>218</v>
      </c>
      <c r="I627" t="s">
        <v>27</v>
      </c>
      <c r="J627" t="s">
        <v>785</v>
      </c>
    </row>
    <row r="628" spans="1:10" x14ac:dyDescent="0.3">
      <c r="A628" t="s">
        <v>22</v>
      </c>
      <c r="B628">
        <v>157942.65</v>
      </c>
      <c r="C628">
        <v>136620.39000000001</v>
      </c>
      <c r="D628" s="1">
        <v>44005</v>
      </c>
      <c r="E628" t="s">
        <v>29</v>
      </c>
      <c r="F628" t="s">
        <v>106</v>
      </c>
      <c r="G628" t="s">
        <v>25</v>
      </c>
      <c r="H628" t="s">
        <v>87</v>
      </c>
      <c r="I628" t="s">
        <v>27</v>
      </c>
      <c r="J628" t="s">
        <v>786</v>
      </c>
    </row>
    <row r="629" spans="1:10" x14ac:dyDescent="0.3">
      <c r="A629" t="s">
        <v>17</v>
      </c>
      <c r="B629">
        <v>102771.44</v>
      </c>
      <c r="C629">
        <v>83584.009999999995</v>
      </c>
      <c r="D629" s="1">
        <v>43793</v>
      </c>
      <c r="E629" t="s">
        <v>55</v>
      </c>
      <c r="F629" t="s">
        <v>367</v>
      </c>
      <c r="G629" t="s">
        <v>19</v>
      </c>
      <c r="H629" t="s">
        <v>78</v>
      </c>
      <c r="I629" t="s">
        <v>27</v>
      </c>
      <c r="J629" t="s">
        <v>787</v>
      </c>
    </row>
    <row r="630" spans="1:10" x14ac:dyDescent="0.3">
      <c r="A630" t="s">
        <v>22</v>
      </c>
      <c r="B630">
        <v>41921.61</v>
      </c>
      <c r="C630">
        <v>34773.980000000003</v>
      </c>
      <c r="D630" s="1">
        <v>44163</v>
      </c>
      <c r="E630" t="s">
        <v>11</v>
      </c>
      <c r="F630" t="s">
        <v>335</v>
      </c>
      <c r="G630" t="s">
        <v>25</v>
      </c>
      <c r="H630" t="s">
        <v>63</v>
      </c>
      <c r="I630" t="s">
        <v>15</v>
      </c>
      <c r="J630" t="s">
        <v>788</v>
      </c>
    </row>
    <row r="631" spans="1:10" x14ac:dyDescent="0.3">
      <c r="A631" t="s">
        <v>22</v>
      </c>
      <c r="B631">
        <v>107232.99</v>
      </c>
      <c r="C631">
        <v>85207.33</v>
      </c>
      <c r="D631" s="1">
        <v>44046</v>
      </c>
      <c r="E631" t="s">
        <v>23</v>
      </c>
      <c r="F631" t="s">
        <v>106</v>
      </c>
      <c r="G631" t="s">
        <v>25</v>
      </c>
      <c r="H631" t="s">
        <v>167</v>
      </c>
      <c r="I631" t="s">
        <v>27</v>
      </c>
      <c r="J631" t="s">
        <v>789</v>
      </c>
    </row>
    <row r="632" spans="1:10" x14ac:dyDescent="0.3">
      <c r="A632" t="s">
        <v>10</v>
      </c>
      <c r="B632">
        <v>45261.84</v>
      </c>
      <c r="C632">
        <v>37816.269999999997</v>
      </c>
      <c r="D632" s="1">
        <v>44156</v>
      </c>
      <c r="E632" t="s">
        <v>76</v>
      </c>
      <c r="F632" t="s">
        <v>133</v>
      </c>
      <c r="G632" t="s">
        <v>13</v>
      </c>
      <c r="H632" t="s">
        <v>72</v>
      </c>
      <c r="I632" t="s">
        <v>27</v>
      </c>
      <c r="J632" t="s">
        <v>790</v>
      </c>
    </row>
    <row r="633" spans="1:10" x14ac:dyDescent="0.3">
      <c r="A633" t="s">
        <v>17</v>
      </c>
      <c r="B633">
        <v>74103.820000000007</v>
      </c>
      <c r="C633">
        <v>64811.199999999997</v>
      </c>
      <c r="D633" s="1">
        <v>43862</v>
      </c>
      <c r="E633" t="s">
        <v>23</v>
      </c>
      <c r="F633" t="s">
        <v>56</v>
      </c>
      <c r="G633" t="s">
        <v>19</v>
      </c>
      <c r="H633" t="s">
        <v>157</v>
      </c>
      <c r="I633" t="s">
        <v>27</v>
      </c>
      <c r="J633" t="s">
        <v>791</v>
      </c>
    </row>
    <row r="634" spans="1:10" x14ac:dyDescent="0.3">
      <c r="A634" t="s">
        <v>10</v>
      </c>
      <c r="B634">
        <v>263713.12</v>
      </c>
      <c r="C634">
        <v>216165.64</v>
      </c>
      <c r="D634" s="1">
        <v>44012</v>
      </c>
      <c r="E634" t="s">
        <v>29</v>
      </c>
      <c r="F634" t="s">
        <v>308</v>
      </c>
      <c r="G634" t="s">
        <v>13</v>
      </c>
      <c r="H634" t="s">
        <v>14</v>
      </c>
      <c r="I634" t="s">
        <v>27</v>
      </c>
      <c r="J634" t="s">
        <v>792</v>
      </c>
    </row>
    <row r="635" spans="1:10" x14ac:dyDescent="0.3">
      <c r="A635" t="s">
        <v>17</v>
      </c>
      <c r="B635">
        <v>80839.75</v>
      </c>
      <c r="C635">
        <v>63936.160000000003</v>
      </c>
      <c r="D635" s="1">
        <v>43972</v>
      </c>
      <c r="E635" t="s">
        <v>11</v>
      </c>
      <c r="F635" t="s">
        <v>272</v>
      </c>
      <c r="G635" t="s">
        <v>19</v>
      </c>
      <c r="H635" t="s">
        <v>31</v>
      </c>
      <c r="I635" t="s">
        <v>27</v>
      </c>
      <c r="J635" t="s">
        <v>793</v>
      </c>
    </row>
    <row r="636" spans="1:10" x14ac:dyDescent="0.3">
      <c r="A636" t="s">
        <v>17</v>
      </c>
      <c r="B636">
        <v>144927.17000000001</v>
      </c>
      <c r="C636">
        <v>122260.56</v>
      </c>
      <c r="D636" s="1">
        <v>44021</v>
      </c>
      <c r="E636" t="s">
        <v>23</v>
      </c>
      <c r="F636" t="s">
        <v>45</v>
      </c>
      <c r="G636" t="s">
        <v>19</v>
      </c>
      <c r="H636" t="s">
        <v>31</v>
      </c>
      <c r="I636" t="s">
        <v>27</v>
      </c>
      <c r="J636" t="s">
        <v>794</v>
      </c>
    </row>
    <row r="637" spans="1:10" x14ac:dyDescent="0.3">
      <c r="A637" t="s">
        <v>22</v>
      </c>
      <c r="B637">
        <v>30550.32</v>
      </c>
      <c r="C637">
        <v>25457.58</v>
      </c>
      <c r="D637" s="1">
        <v>43616</v>
      </c>
      <c r="E637" t="s">
        <v>76</v>
      </c>
      <c r="F637" t="s">
        <v>400</v>
      </c>
      <c r="G637" t="s">
        <v>25</v>
      </c>
      <c r="H637" t="s">
        <v>167</v>
      </c>
      <c r="I637" t="s">
        <v>32</v>
      </c>
      <c r="J637" t="s">
        <v>795</v>
      </c>
    </row>
    <row r="638" spans="1:10" x14ac:dyDescent="0.3">
      <c r="A638" t="s">
        <v>17</v>
      </c>
      <c r="B638">
        <v>173829.96</v>
      </c>
      <c r="C638">
        <v>149824.04</v>
      </c>
      <c r="D638" s="1">
        <v>43731</v>
      </c>
      <c r="E638" t="s">
        <v>76</v>
      </c>
      <c r="F638" t="s">
        <v>174</v>
      </c>
      <c r="G638" t="s">
        <v>19</v>
      </c>
      <c r="H638" t="s">
        <v>20</v>
      </c>
      <c r="I638" t="s">
        <v>27</v>
      </c>
      <c r="J638" t="s">
        <v>796</v>
      </c>
    </row>
    <row r="639" spans="1:10" x14ac:dyDescent="0.3">
      <c r="A639" t="s">
        <v>54</v>
      </c>
      <c r="B639">
        <v>76652.73</v>
      </c>
      <c r="C639">
        <v>64311.64</v>
      </c>
      <c r="D639" s="1">
        <v>43929</v>
      </c>
      <c r="E639" t="s">
        <v>55</v>
      </c>
      <c r="F639" t="s">
        <v>400</v>
      </c>
      <c r="G639" t="s">
        <v>57</v>
      </c>
      <c r="H639" t="s">
        <v>58</v>
      </c>
      <c r="I639" t="s">
        <v>27</v>
      </c>
      <c r="J639" t="s">
        <v>797</v>
      </c>
    </row>
    <row r="640" spans="1:10" x14ac:dyDescent="0.3">
      <c r="A640" t="s">
        <v>17</v>
      </c>
      <c r="B640">
        <v>164243.32</v>
      </c>
      <c r="C640">
        <v>134121.1</v>
      </c>
      <c r="D640" s="1">
        <v>43605</v>
      </c>
      <c r="E640" t="s">
        <v>51</v>
      </c>
      <c r="F640" t="s">
        <v>30</v>
      </c>
      <c r="G640" t="s">
        <v>19</v>
      </c>
      <c r="H640" t="s">
        <v>20</v>
      </c>
      <c r="I640" t="s">
        <v>27</v>
      </c>
      <c r="J640" t="s">
        <v>798</v>
      </c>
    </row>
    <row r="641" spans="1:10" x14ac:dyDescent="0.3">
      <c r="A641" t="s">
        <v>34</v>
      </c>
      <c r="B641">
        <v>152865.34</v>
      </c>
      <c r="C641">
        <v>121130.5</v>
      </c>
      <c r="D641" s="1">
        <v>43994</v>
      </c>
      <c r="E641" t="s">
        <v>40</v>
      </c>
      <c r="F641" t="s">
        <v>12</v>
      </c>
      <c r="G641" t="s">
        <v>36</v>
      </c>
      <c r="H641" t="s">
        <v>37</v>
      </c>
      <c r="I641" t="s">
        <v>27</v>
      </c>
      <c r="J641" t="s">
        <v>799</v>
      </c>
    </row>
    <row r="642" spans="1:10" x14ac:dyDescent="0.3">
      <c r="A642" t="s">
        <v>151</v>
      </c>
      <c r="B642">
        <v>119819.37</v>
      </c>
      <c r="C642">
        <v>105441.05</v>
      </c>
      <c r="D642" s="1">
        <v>44024</v>
      </c>
      <c r="E642" t="s">
        <v>51</v>
      </c>
      <c r="F642" t="s">
        <v>174</v>
      </c>
      <c r="G642" t="s">
        <v>152</v>
      </c>
      <c r="H642" t="s">
        <v>153</v>
      </c>
      <c r="I642" t="s">
        <v>27</v>
      </c>
      <c r="J642" t="s">
        <v>800</v>
      </c>
    </row>
    <row r="643" spans="1:10" x14ac:dyDescent="0.3">
      <c r="A643" t="s">
        <v>54</v>
      </c>
      <c r="B643">
        <v>190100.96</v>
      </c>
      <c r="C643">
        <v>160749.37</v>
      </c>
      <c r="D643" s="1">
        <v>43819</v>
      </c>
      <c r="E643" t="s">
        <v>29</v>
      </c>
      <c r="F643" t="s">
        <v>373</v>
      </c>
      <c r="G643" t="s">
        <v>57</v>
      </c>
      <c r="H643" t="s">
        <v>58</v>
      </c>
      <c r="I643" t="s">
        <v>27</v>
      </c>
      <c r="J643" t="s">
        <v>801</v>
      </c>
    </row>
    <row r="644" spans="1:10" x14ac:dyDescent="0.3">
      <c r="A644" t="s">
        <v>169</v>
      </c>
      <c r="B644">
        <v>39287.29</v>
      </c>
      <c r="C644">
        <v>31708.77</v>
      </c>
      <c r="D644" s="1">
        <v>43539</v>
      </c>
      <c r="E644" t="s">
        <v>11</v>
      </c>
      <c r="F644" t="s">
        <v>133</v>
      </c>
      <c r="G644" t="s">
        <v>171</v>
      </c>
      <c r="H644" t="s">
        <v>298</v>
      </c>
      <c r="I644" t="s">
        <v>27</v>
      </c>
      <c r="J644" t="s">
        <v>802</v>
      </c>
    </row>
    <row r="645" spans="1:10" x14ac:dyDescent="0.3">
      <c r="A645" t="s">
        <v>22</v>
      </c>
      <c r="B645">
        <v>105340.85</v>
      </c>
      <c r="C645">
        <v>87285.43</v>
      </c>
      <c r="D645" s="1">
        <v>44061</v>
      </c>
      <c r="E645" t="s">
        <v>91</v>
      </c>
      <c r="F645" t="s">
        <v>400</v>
      </c>
      <c r="G645" t="s">
        <v>25</v>
      </c>
      <c r="H645" t="s">
        <v>87</v>
      </c>
      <c r="I645" t="s">
        <v>27</v>
      </c>
      <c r="J645" t="s">
        <v>803</v>
      </c>
    </row>
    <row r="646" spans="1:10" x14ac:dyDescent="0.3">
      <c r="A646" t="s">
        <v>17</v>
      </c>
      <c r="B646">
        <v>57333.85</v>
      </c>
      <c r="C646">
        <v>46308.55</v>
      </c>
      <c r="D646" s="1">
        <v>44128</v>
      </c>
      <c r="E646" t="s">
        <v>99</v>
      </c>
      <c r="F646" t="s">
        <v>272</v>
      </c>
      <c r="G646" t="s">
        <v>19</v>
      </c>
      <c r="H646" t="s">
        <v>20</v>
      </c>
      <c r="I646" t="s">
        <v>27</v>
      </c>
      <c r="J646" t="s">
        <v>804</v>
      </c>
    </row>
    <row r="647" spans="1:10" x14ac:dyDescent="0.3">
      <c r="A647" t="s">
        <v>17</v>
      </c>
      <c r="B647">
        <v>57348.43</v>
      </c>
      <c r="C647">
        <v>47587.73</v>
      </c>
      <c r="D647" s="1">
        <v>43800</v>
      </c>
      <c r="E647" t="s">
        <v>40</v>
      </c>
      <c r="F647" t="s">
        <v>106</v>
      </c>
      <c r="G647" t="s">
        <v>19</v>
      </c>
      <c r="H647" t="s">
        <v>31</v>
      </c>
      <c r="I647" t="s">
        <v>27</v>
      </c>
      <c r="J647" t="s">
        <v>805</v>
      </c>
    </row>
    <row r="648" spans="1:10" x14ac:dyDescent="0.3">
      <c r="A648" t="s">
        <v>34</v>
      </c>
      <c r="B648">
        <v>24543.72</v>
      </c>
      <c r="C648">
        <v>19492.62</v>
      </c>
      <c r="D648" s="1">
        <v>43546</v>
      </c>
      <c r="E648" t="s">
        <v>40</v>
      </c>
      <c r="F648" t="s">
        <v>106</v>
      </c>
      <c r="G648" t="s">
        <v>36</v>
      </c>
      <c r="H648" t="s">
        <v>93</v>
      </c>
      <c r="I648" t="s">
        <v>27</v>
      </c>
      <c r="J648" t="s">
        <v>806</v>
      </c>
    </row>
    <row r="649" spans="1:10" x14ac:dyDescent="0.3">
      <c r="A649" t="s">
        <v>10</v>
      </c>
      <c r="B649">
        <v>30166.93</v>
      </c>
      <c r="C649">
        <v>24658.45</v>
      </c>
      <c r="D649" s="1">
        <v>43798</v>
      </c>
      <c r="E649" t="s">
        <v>23</v>
      </c>
      <c r="F649" t="s">
        <v>229</v>
      </c>
      <c r="G649" t="s">
        <v>13</v>
      </c>
      <c r="H649" t="s">
        <v>14</v>
      </c>
      <c r="I649" t="s">
        <v>27</v>
      </c>
      <c r="J649" t="s">
        <v>807</v>
      </c>
    </row>
    <row r="650" spans="1:10" x14ac:dyDescent="0.3">
      <c r="A650" t="s">
        <v>22</v>
      </c>
      <c r="B650">
        <v>253580.08</v>
      </c>
      <c r="C650">
        <v>212449.39</v>
      </c>
      <c r="D650" s="1">
        <v>43989</v>
      </c>
      <c r="E650" t="s">
        <v>11</v>
      </c>
      <c r="F650" t="s">
        <v>170</v>
      </c>
      <c r="G650" t="s">
        <v>25</v>
      </c>
      <c r="H650" t="s">
        <v>87</v>
      </c>
      <c r="I650" t="s">
        <v>27</v>
      </c>
      <c r="J650" t="s">
        <v>808</v>
      </c>
    </row>
    <row r="651" spans="1:10" x14ac:dyDescent="0.3">
      <c r="A651" t="s">
        <v>22</v>
      </c>
      <c r="B651">
        <v>57115.99</v>
      </c>
      <c r="C651">
        <v>48976.959999999999</v>
      </c>
      <c r="D651" s="1">
        <v>43551</v>
      </c>
      <c r="E651" t="s">
        <v>91</v>
      </c>
      <c r="F651" t="s">
        <v>809</v>
      </c>
      <c r="G651" t="s">
        <v>25</v>
      </c>
      <c r="H651" t="s">
        <v>52</v>
      </c>
      <c r="I651" t="s">
        <v>32</v>
      </c>
      <c r="J651" t="s">
        <v>810</v>
      </c>
    </row>
    <row r="652" spans="1:10" x14ac:dyDescent="0.3">
      <c r="A652" t="s">
        <v>66</v>
      </c>
      <c r="B652">
        <v>72002.259999999995</v>
      </c>
      <c r="C652">
        <v>56996.99</v>
      </c>
      <c r="D652" s="1">
        <v>43482</v>
      </c>
      <c r="E652" t="s">
        <v>23</v>
      </c>
      <c r="F652" t="s">
        <v>211</v>
      </c>
      <c r="G652" t="s">
        <v>68</v>
      </c>
      <c r="H652" t="s">
        <v>69</v>
      </c>
      <c r="I652" t="s">
        <v>27</v>
      </c>
      <c r="J652" t="s">
        <v>811</v>
      </c>
    </row>
    <row r="653" spans="1:10" x14ac:dyDescent="0.3">
      <c r="A653" t="s">
        <v>10</v>
      </c>
      <c r="B653">
        <v>255216</v>
      </c>
      <c r="C653">
        <v>211446.46</v>
      </c>
      <c r="D653" s="1">
        <v>43827</v>
      </c>
      <c r="E653" t="s">
        <v>40</v>
      </c>
      <c r="F653" t="s">
        <v>60</v>
      </c>
      <c r="G653" t="s">
        <v>13</v>
      </c>
      <c r="H653" t="s">
        <v>14</v>
      </c>
      <c r="I653" t="s">
        <v>27</v>
      </c>
      <c r="J653" t="s">
        <v>812</v>
      </c>
    </row>
    <row r="654" spans="1:10" x14ac:dyDescent="0.3">
      <c r="A654" t="s">
        <v>122</v>
      </c>
      <c r="B654">
        <v>42239.66</v>
      </c>
      <c r="C654">
        <v>37039.96</v>
      </c>
      <c r="D654" s="1">
        <v>43602</v>
      </c>
      <c r="E654" t="s">
        <v>51</v>
      </c>
      <c r="F654" t="s">
        <v>56</v>
      </c>
      <c r="G654" t="s">
        <v>123</v>
      </c>
      <c r="H654" t="s">
        <v>254</v>
      </c>
      <c r="I654" t="s">
        <v>27</v>
      </c>
      <c r="J654" t="s">
        <v>813</v>
      </c>
    </row>
    <row r="655" spans="1:10" x14ac:dyDescent="0.3">
      <c r="A655" t="s">
        <v>10</v>
      </c>
      <c r="B655">
        <v>139682.07</v>
      </c>
      <c r="C655">
        <v>113212.32</v>
      </c>
      <c r="D655" s="1">
        <v>43848</v>
      </c>
      <c r="E655" t="s">
        <v>11</v>
      </c>
      <c r="F655" t="s">
        <v>656</v>
      </c>
      <c r="G655" t="s">
        <v>13</v>
      </c>
      <c r="H655" t="s">
        <v>81</v>
      </c>
      <c r="I655" t="s">
        <v>27</v>
      </c>
      <c r="J655" t="s">
        <v>814</v>
      </c>
    </row>
    <row r="656" spans="1:10" x14ac:dyDescent="0.3">
      <c r="A656" t="s">
        <v>216</v>
      </c>
      <c r="B656">
        <v>105678.39</v>
      </c>
      <c r="C656">
        <v>89720.95</v>
      </c>
      <c r="D656" s="1">
        <v>44017</v>
      </c>
      <c r="E656" t="s">
        <v>11</v>
      </c>
      <c r="F656" t="s">
        <v>24</v>
      </c>
      <c r="G656" t="s">
        <v>217</v>
      </c>
      <c r="H656" t="s">
        <v>218</v>
      </c>
      <c r="I656" t="s">
        <v>32</v>
      </c>
      <c r="J656" t="s">
        <v>815</v>
      </c>
    </row>
    <row r="657" spans="1:10" x14ac:dyDescent="0.3">
      <c r="A657" t="s">
        <v>10</v>
      </c>
      <c r="B657">
        <v>85156.7</v>
      </c>
      <c r="C657">
        <v>69479.350000000006</v>
      </c>
      <c r="D657" s="1">
        <v>43970</v>
      </c>
      <c r="E657" t="s">
        <v>76</v>
      </c>
      <c r="F657" t="s">
        <v>312</v>
      </c>
      <c r="G657" t="s">
        <v>13</v>
      </c>
      <c r="H657" t="s">
        <v>110</v>
      </c>
      <c r="I657" t="s">
        <v>27</v>
      </c>
      <c r="J657" t="s">
        <v>816</v>
      </c>
    </row>
    <row r="658" spans="1:10" x14ac:dyDescent="0.3">
      <c r="A658" t="s">
        <v>513</v>
      </c>
      <c r="B658">
        <v>51090.76</v>
      </c>
      <c r="C658">
        <v>40739.769999999997</v>
      </c>
      <c r="D658" s="1">
        <v>44168</v>
      </c>
      <c r="E658" t="s">
        <v>29</v>
      </c>
      <c r="F658" t="s">
        <v>195</v>
      </c>
      <c r="G658" t="s">
        <v>514</v>
      </c>
      <c r="H658" t="s">
        <v>515</v>
      </c>
      <c r="I658" t="s">
        <v>27</v>
      </c>
      <c r="J658" t="s">
        <v>817</v>
      </c>
    </row>
    <row r="659" spans="1:10" x14ac:dyDescent="0.3">
      <c r="A659" t="s">
        <v>34</v>
      </c>
      <c r="B659">
        <v>308763.51</v>
      </c>
      <c r="C659">
        <v>245714</v>
      </c>
      <c r="D659" s="1">
        <v>43933</v>
      </c>
      <c r="E659" t="s">
        <v>181</v>
      </c>
      <c r="F659" t="s">
        <v>80</v>
      </c>
      <c r="G659" t="s">
        <v>36</v>
      </c>
      <c r="H659" t="s">
        <v>104</v>
      </c>
      <c r="I659" t="s">
        <v>27</v>
      </c>
      <c r="J659" t="s">
        <v>818</v>
      </c>
    </row>
    <row r="660" spans="1:10" x14ac:dyDescent="0.3">
      <c r="A660" t="s">
        <v>216</v>
      </c>
      <c r="B660">
        <v>138249.76999999999</v>
      </c>
      <c r="C660">
        <v>120277.3</v>
      </c>
      <c r="D660" s="1">
        <v>43716</v>
      </c>
      <c r="E660" t="s">
        <v>11</v>
      </c>
      <c r="F660" t="s">
        <v>106</v>
      </c>
      <c r="G660" t="s">
        <v>217</v>
      </c>
      <c r="H660" t="s">
        <v>218</v>
      </c>
      <c r="I660" t="s">
        <v>27</v>
      </c>
      <c r="J660" t="s">
        <v>819</v>
      </c>
    </row>
    <row r="661" spans="1:10" x14ac:dyDescent="0.3">
      <c r="A661" t="s">
        <v>10</v>
      </c>
      <c r="B661">
        <v>42611.78</v>
      </c>
      <c r="C661">
        <v>35755.54</v>
      </c>
      <c r="D661" s="1">
        <v>44168</v>
      </c>
      <c r="E661" t="s">
        <v>40</v>
      </c>
      <c r="F661" t="s">
        <v>373</v>
      </c>
      <c r="G661" t="s">
        <v>13</v>
      </c>
      <c r="H661" t="s">
        <v>14</v>
      </c>
      <c r="I661" t="s">
        <v>32</v>
      </c>
      <c r="J661" t="s">
        <v>820</v>
      </c>
    </row>
    <row r="662" spans="1:10" x14ac:dyDescent="0.3">
      <c r="A662" t="s">
        <v>17</v>
      </c>
      <c r="B662">
        <v>141436.98000000001</v>
      </c>
      <c r="C662">
        <v>114691.25</v>
      </c>
      <c r="D662" s="1">
        <v>43611</v>
      </c>
      <c r="E662" t="s">
        <v>181</v>
      </c>
      <c r="F662" t="s">
        <v>373</v>
      </c>
      <c r="G662" t="s">
        <v>19</v>
      </c>
      <c r="H662" t="s">
        <v>78</v>
      </c>
      <c r="I662" t="s">
        <v>27</v>
      </c>
      <c r="J662" t="s">
        <v>821</v>
      </c>
    </row>
    <row r="663" spans="1:10" x14ac:dyDescent="0.3">
      <c r="A663" t="s">
        <v>22</v>
      </c>
      <c r="B663">
        <v>41016.31</v>
      </c>
      <c r="C663">
        <v>32985.32</v>
      </c>
      <c r="D663" s="1">
        <v>43713</v>
      </c>
      <c r="E663" t="s">
        <v>76</v>
      </c>
      <c r="F663" t="s">
        <v>189</v>
      </c>
      <c r="G663" t="s">
        <v>25</v>
      </c>
      <c r="H663" t="s">
        <v>26</v>
      </c>
      <c r="I663" t="s">
        <v>15</v>
      </c>
      <c r="J663" t="s">
        <v>822</v>
      </c>
    </row>
    <row r="664" spans="1:10" x14ac:dyDescent="0.3">
      <c r="A664" t="s">
        <v>22</v>
      </c>
      <c r="B664">
        <v>144237.38</v>
      </c>
      <c r="C664">
        <v>116111.09</v>
      </c>
      <c r="D664" s="1">
        <v>43962</v>
      </c>
      <c r="E664" t="s">
        <v>91</v>
      </c>
      <c r="F664" t="s">
        <v>56</v>
      </c>
      <c r="G664" t="s">
        <v>25</v>
      </c>
      <c r="H664" t="s">
        <v>63</v>
      </c>
      <c r="I664" t="s">
        <v>27</v>
      </c>
      <c r="J664" t="s">
        <v>823</v>
      </c>
    </row>
    <row r="665" spans="1:10" x14ac:dyDescent="0.3">
      <c r="A665" t="s">
        <v>10</v>
      </c>
      <c r="B665">
        <v>91350.76</v>
      </c>
      <c r="C665">
        <v>75839.399999999994</v>
      </c>
      <c r="D665" s="1">
        <v>43557</v>
      </c>
      <c r="E665" t="s">
        <v>11</v>
      </c>
      <c r="F665" t="s">
        <v>133</v>
      </c>
      <c r="G665" t="s">
        <v>13</v>
      </c>
      <c r="H665" t="s">
        <v>46</v>
      </c>
      <c r="I665" t="s">
        <v>27</v>
      </c>
      <c r="J665" t="s">
        <v>824</v>
      </c>
    </row>
    <row r="666" spans="1:10" x14ac:dyDescent="0.3">
      <c r="A666" t="s">
        <v>169</v>
      </c>
      <c r="B666">
        <v>31936.44</v>
      </c>
      <c r="C666">
        <v>27708.06</v>
      </c>
      <c r="D666" s="1">
        <v>44091</v>
      </c>
      <c r="E666" t="s">
        <v>91</v>
      </c>
      <c r="F666" t="s">
        <v>302</v>
      </c>
      <c r="G666" t="s">
        <v>171</v>
      </c>
      <c r="H666" t="s">
        <v>298</v>
      </c>
      <c r="I666" t="s">
        <v>27</v>
      </c>
      <c r="J666" t="s">
        <v>825</v>
      </c>
    </row>
    <row r="667" spans="1:10" x14ac:dyDescent="0.3">
      <c r="A667" t="s">
        <v>17</v>
      </c>
      <c r="B667">
        <v>79205.19</v>
      </c>
      <c r="C667">
        <v>65423.49</v>
      </c>
      <c r="D667" s="1">
        <v>43651</v>
      </c>
      <c r="E667" t="s">
        <v>11</v>
      </c>
      <c r="F667" t="s">
        <v>222</v>
      </c>
      <c r="G667" t="s">
        <v>19</v>
      </c>
      <c r="H667" t="s">
        <v>49</v>
      </c>
      <c r="I667" t="s">
        <v>15</v>
      </c>
      <c r="J667" t="s">
        <v>826</v>
      </c>
    </row>
    <row r="668" spans="1:10" x14ac:dyDescent="0.3">
      <c r="A668" t="s">
        <v>17</v>
      </c>
      <c r="B668">
        <v>111462.88</v>
      </c>
      <c r="C668">
        <v>94130.4</v>
      </c>
      <c r="D668" s="1">
        <v>43899</v>
      </c>
      <c r="E668" t="s">
        <v>181</v>
      </c>
      <c r="F668" t="s">
        <v>45</v>
      </c>
      <c r="G668" t="s">
        <v>19</v>
      </c>
      <c r="H668" t="s">
        <v>49</v>
      </c>
      <c r="I668" t="s">
        <v>15</v>
      </c>
      <c r="J668" t="s">
        <v>827</v>
      </c>
    </row>
    <row r="669" spans="1:10" x14ac:dyDescent="0.3">
      <c r="A669" t="s">
        <v>17</v>
      </c>
      <c r="B669">
        <v>85220.83</v>
      </c>
      <c r="C669">
        <v>73767.149999999994</v>
      </c>
      <c r="D669" s="1">
        <v>43723</v>
      </c>
      <c r="E669" t="s">
        <v>76</v>
      </c>
      <c r="F669" t="s">
        <v>86</v>
      </c>
      <c r="G669" t="s">
        <v>19</v>
      </c>
      <c r="H669" t="s">
        <v>31</v>
      </c>
      <c r="I669" t="s">
        <v>15</v>
      </c>
      <c r="J669" t="s">
        <v>828</v>
      </c>
    </row>
    <row r="670" spans="1:10" x14ac:dyDescent="0.3">
      <c r="A670" t="s">
        <v>10</v>
      </c>
      <c r="B670">
        <v>89639.28</v>
      </c>
      <c r="C670">
        <v>77788.97</v>
      </c>
      <c r="D670" s="1">
        <v>43490</v>
      </c>
      <c r="E670" t="s">
        <v>40</v>
      </c>
      <c r="F670" t="s">
        <v>97</v>
      </c>
      <c r="G670" t="s">
        <v>13</v>
      </c>
      <c r="H670" t="s">
        <v>72</v>
      </c>
      <c r="I670" t="s">
        <v>27</v>
      </c>
      <c r="J670" t="s">
        <v>829</v>
      </c>
    </row>
    <row r="671" spans="1:10" x14ac:dyDescent="0.3">
      <c r="A671" t="s">
        <v>22</v>
      </c>
      <c r="B671">
        <v>116556.81</v>
      </c>
      <c r="C671">
        <v>95448.37</v>
      </c>
      <c r="D671" s="1">
        <v>43975</v>
      </c>
      <c r="E671" t="s">
        <v>181</v>
      </c>
      <c r="F671" t="s">
        <v>285</v>
      </c>
      <c r="G671" t="s">
        <v>25</v>
      </c>
      <c r="H671" t="s">
        <v>63</v>
      </c>
      <c r="I671" t="s">
        <v>27</v>
      </c>
      <c r="J671" t="s">
        <v>830</v>
      </c>
    </row>
    <row r="672" spans="1:10" x14ac:dyDescent="0.3">
      <c r="A672" t="s">
        <v>22</v>
      </c>
      <c r="B672">
        <v>179184.12</v>
      </c>
      <c r="C672">
        <v>142433.46</v>
      </c>
      <c r="D672" s="1">
        <v>44048</v>
      </c>
      <c r="E672" t="s">
        <v>23</v>
      </c>
      <c r="F672" t="s">
        <v>71</v>
      </c>
      <c r="G672" t="s">
        <v>25</v>
      </c>
      <c r="H672" t="s">
        <v>87</v>
      </c>
      <c r="I672" t="s">
        <v>27</v>
      </c>
      <c r="J672" t="s">
        <v>831</v>
      </c>
    </row>
    <row r="673" spans="1:10" x14ac:dyDescent="0.3">
      <c r="A673" t="s">
        <v>129</v>
      </c>
      <c r="B673">
        <v>55882.12</v>
      </c>
      <c r="C673">
        <v>48561.56</v>
      </c>
      <c r="D673" s="1">
        <v>43971</v>
      </c>
      <c r="E673" t="s">
        <v>40</v>
      </c>
      <c r="F673" t="s">
        <v>300</v>
      </c>
      <c r="G673" t="s">
        <v>130</v>
      </c>
      <c r="H673" t="s">
        <v>131</v>
      </c>
      <c r="I673" t="s">
        <v>27</v>
      </c>
      <c r="J673" t="s">
        <v>832</v>
      </c>
    </row>
    <row r="674" spans="1:10" x14ac:dyDescent="0.3">
      <c r="A674" t="s">
        <v>143</v>
      </c>
      <c r="B674">
        <v>68288.679999999993</v>
      </c>
      <c r="C674">
        <v>56754.720000000001</v>
      </c>
      <c r="D674" s="1">
        <v>44101</v>
      </c>
      <c r="E674" t="s">
        <v>76</v>
      </c>
      <c r="F674" t="s">
        <v>56</v>
      </c>
      <c r="G674" t="s">
        <v>145</v>
      </c>
      <c r="H674" t="s">
        <v>206</v>
      </c>
      <c r="I674" t="s">
        <v>27</v>
      </c>
      <c r="J674" t="s">
        <v>833</v>
      </c>
    </row>
    <row r="675" spans="1:10" x14ac:dyDescent="0.3">
      <c r="A675" t="s">
        <v>10</v>
      </c>
      <c r="B675">
        <v>102299.92</v>
      </c>
      <c r="C675">
        <v>81706.95</v>
      </c>
      <c r="D675" s="1">
        <v>43699</v>
      </c>
      <c r="E675" t="s">
        <v>76</v>
      </c>
      <c r="F675" t="s">
        <v>149</v>
      </c>
      <c r="G675" t="s">
        <v>13</v>
      </c>
      <c r="H675" t="s">
        <v>46</v>
      </c>
      <c r="I675" t="s">
        <v>27</v>
      </c>
      <c r="J675" t="s">
        <v>834</v>
      </c>
    </row>
    <row r="676" spans="1:10" x14ac:dyDescent="0.3">
      <c r="A676" t="s">
        <v>17</v>
      </c>
      <c r="B676">
        <v>264149.90999999997</v>
      </c>
      <c r="C676">
        <v>208757.67</v>
      </c>
      <c r="D676" s="1">
        <v>44185</v>
      </c>
      <c r="E676" t="s">
        <v>51</v>
      </c>
      <c r="F676" t="s">
        <v>308</v>
      </c>
      <c r="G676" t="s">
        <v>19</v>
      </c>
      <c r="H676" t="s">
        <v>49</v>
      </c>
      <c r="I676" t="s">
        <v>27</v>
      </c>
      <c r="J676" t="s">
        <v>835</v>
      </c>
    </row>
    <row r="677" spans="1:10" x14ac:dyDescent="0.3">
      <c r="A677" t="s">
        <v>216</v>
      </c>
      <c r="B677">
        <v>54566.99</v>
      </c>
      <c r="C677">
        <v>43757.27</v>
      </c>
      <c r="D677" s="1">
        <v>43913</v>
      </c>
      <c r="E677" t="s">
        <v>51</v>
      </c>
      <c r="F677" t="s">
        <v>74</v>
      </c>
      <c r="G677" t="s">
        <v>217</v>
      </c>
      <c r="H677" t="s">
        <v>218</v>
      </c>
      <c r="I677" t="s">
        <v>27</v>
      </c>
      <c r="J677" t="s">
        <v>836</v>
      </c>
    </row>
    <row r="678" spans="1:10" x14ac:dyDescent="0.3">
      <c r="A678" t="s">
        <v>22</v>
      </c>
      <c r="B678">
        <v>242192.19</v>
      </c>
      <c r="C678">
        <v>213104.91</v>
      </c>
      <c r="D678" s="1">
        <v>43503</v>
      </c>
      <c r="E678" t="s">
        <v>55</v>
      </c>
      <c r="F678" t="s">
        <v>156</v>
      </c>
      <c r="G678" t="s">
        <v>25</v>
      </c>
      <c r="H678" t="s">
        <v>167</v>
      </c>
      <c r="I678" t="s">
        <v>27</v>
      </c>
      <c r="J678" t="s">
        <v>837</v>
      </c>
    </row>
    <row r="679" spans="1:10" x14ac:dyDescent="0.3">
      <c r="A679" t="s">
        <v>22</v>
      </c>
      <c r="B679">
        <v>74364.460000000006</v>
      </c>
      <c r="C679">
        <v>60145.98</v>
      </c>
      <c r="D679" s="1">
        <v>43851</v>
      </c>
      <c r="E679" t="s">
        <v>40</v>
      </c>
      <c r="F679" t="s">
        <v>97</v>
      </c>
      <c r="G679" t="s">
        <v>25</v>
      </c>
      <c r="H679" t="s">
        <v>52</v>
      </c>
      <c r="I679" t="s">
        <v>32</v>
      </c>
      <c r="J679" t="s">
        <v>838</v>
      </c>
    </row>
    <row r="680" spans="1:10" x14ac:dyDescent="0.3">
      <c r="A680" t="s">
        <v>22</v>
      </c>
      <c r="B680">
        <v>164117.24</v>
      </c>
      <c r="C680">
        <v>133509.37</v>
      </c>
      <c r="D680" s="1">
        <v>43979</v>
      </c>
      <c r="E680" t="s">
        <v>29</v>
      </c>
      <c r="F680" t="s">
        <v>109</v>
      </c>
      <c r="G680" t="s">
        <v>25</v>
      </c>
      <c r="H680" t="s">
        <v>26</v>
      </c>
      <c r="I680" t="s">
        <v>27</v>
      </c>
      <c r="J680" t="s">
        <v>839</v>
      </c>
    </row>
    <row r="681" spans="1:10" x14ac:dyDescent="0.3">
      <c r="A681" t="s">
        <v>10</v>
      </c>
      <c r="B681">
        <v>40831.519999999997</v>
      </c>
      <c r="C681">
        <v>34192.31</v>
      </c>
      <c r="D681" s="1">
        <v>43581</v>
      </c>
      <c r="E681" t="s">
        <v>23</v>
      </c>
      <c r="F681" t="s">
        <v>41</v>
      </c>
      <c r="G681" t="s">
        <v>13</v>
      </c>
      <c r="H681" t="s">
        <v>72</v>
      </c>
      <c r="I681" t="s">
        <v>27</v>
      </c>
      <c r="J681" t="s">
        <v>840</v>
      </c>
    </row>
    <row r="682" spans="1:10" x14ac:dyDescent="0.3">
      <c r="A682" t="s">
        <v>143</v>
      </c>
      <c r="B682">
        <v>178763.42</v>
      </c>
      <c r="C682">
        <v>146621.76000000001</v>
      </c>
      <c r="D682" s="1">
        <v>43821</v>
      </c>
      <c r="E682" t="s">
        <v>11</v>
      </c>
      <c r="F682" t="s">
        <v>56</v>
      </c>
      <c r="G682" t="s">
        <v>145</v>
      </c>
      <c r="H682" t="s">
        <v>206</v>
      </c>
      <c r="I682" t="s">
        <v>15</v>
      </c>
      <c r="J682" t="s">
        <v>841</v>
      </c>
    </row>
    <row r="683" spans="1:10" x14ac:dyDescent="0.3">
      <c r="A683" t="s">
        <v>122</v>
      </c>
      <c r="B683">
        <v>152231.85999999999</v>
      </c>
      <c r="C683">
        <v>122303.08</v>
      </c>
      <c r="D683" s="1">
        <v>43682</v>
      </c>
      <c r="E683" t="s">
        <v>51</v>
      </c>
      <c r="F683" t="s">
        <v>195</v>
      </c>
      <c r="G683" t="s">
        <v>123</v>
      </c>
      <c r="H683" t="s">
        <v>254</v>
      </c>
      <c r="I683" t="s">
        <v>27</v>
      </c>
      <c r="J683" t="s">
        <v>842</v>
      </c>
    </row>
    <row r="684" spans="1:10" x14ac:dyDescent="0.3">
      <c r="A684" t="s">
        <v>34</v>
      </c>
      <c r="B684">
        <v>96358.45</v>
      </c>
      <c r="C684">
        <v>80700.2</v>
      </c>
      <c r="D684" s="1">
        <v>43805</v>
      </c>
      <c r="E684" t="s">
        <v>181</v>
      </c>
      <c r="F684" t="s">
        <v>415</v>
      </c>
      <c r="G684" t="s">
        <v>36</v>
      </c>
      <c r="H684" t="s">
        <v>37</v>
      </c>
      <c r="I684" t="s">
        <v>27</v>
      </c>
      <c r="J684" t="s">
        <v>843</v>
      </c>
    </row>
    <row r="685" spans="1:10" x14ac:dyDescent="0.3">
      <c r="A685" t="s">
        <v>17</v>
      </c>
      <c r="B685">
        <v>116328.75</v>
      </c>
      <c r="C685">
        <v>93365.45</v>
      </c>
      <c r="D685" s="1">
        <v>43735</v>
      </c>
      <c r="E685" t="s">
        <v>23</v>
      </c>
      <c r="F685" t="s">
        <v>156</v>
      </c>
      <c r="G685" t="s">
        <v>19</v>
      </c>
      <c r="H685" t="s">
        <v>31</v>
      </c>
      <c r="I685" t="s">
        <v>27</v>
      </c>
      <c r="J685" t="s">
        <v>844</v>
      </c>
    </row>
    <row r="686" spans="1:10" x14ac:dyDescent="0.3">
      <c r="A686" t="s">
        <v>22</v>
      </c>
      <c r="B686">
        <v>79288.03</v>
      </c>
      <c r="C686">
        <v>68536.570000000007</v>
      </c>
      <c r="D686" s="1">
        <v>43684</v>
      </c>
      <c r="E686" t="s">
        <v>40</v>
      </c>
      <c r="F686" t="s">
        <v>56</v>
      </c>
      <c r="G686" t="s">
        <v>25</v>
      </c>
      <c r="H686" t="s">
        <v>63</v>
      </c>
      <c r="I686" t="s">
        <v>27</v>
      </c>
      <c r="J686" t="s">
        <v>845</v>
      </c>
    </row>
    <row r="687" spans="1:10" x14ac:dyDescent="0.3">
      <c r="A687" t="s">
        <v>34</v>
      </c>
      <c r="B687">
        <v>50374.22</v>
      </c>
      <c r="C687">
        <v>44047.22</v>
      </c>
      <c r="D687" s="1">
        <v>43656</v>
      </c>
      <c r="E687" t="s">
        <v>11</v>
      </c>
      <c r="F687" t="s">
        <v>126</v>
      </c>
      <c r="G687" t="s">
        <v>36</v>
      </c>
      <c r="H687" t="s">
        <v>37</v>
      </c>
      <c r="I687" t="s">
        <v>27</v>
      </c>
      <c r="J687" t="s">
        <v>846</v>
      </c>
    </row>
    <row r="688" spans="1:10" x14ac:dyDescent="0.3">
      <c r="A688" t="s">
        <v>151</v>
      </c>
      <c r="B688">
        <v>135344.51999999999</v>
      </c>
      <c r="C688">
        <v>117492.58</v>
      </c>
      <c r="D688" s="1">
        <v>43482</v>
      </c>
      <c r="E688" t="s">
        <v>11</v>
      </c>
      <c r="F688" t="s">
        <v>133</v>
      </c>
      <c r="G688" t="s">
        <v>152</v>
      </c>
      <c r="H688" t="s">
        <v>153</v>
      </c>
      <c r="I688" t="s">
        <v>27</v>
      </c>
      <c r="J688" t="s">
        <v>847</v>
      </c>
    </row>
    <row r="689" spans="1:10" x14ac:dyDescent="0.3">
      <c r="A689" t="s">
        <v>22</v>
      </c>
      <c r="B689">
        <v>112481.44</v>
      </c>
      <c r="C689">
        <v>96700.29</v>
      </c>
      <c r="D689" s="1">
        <v>44139</v>
      </c>
      <c r="E689" t="s">
        <v>29</v>
      </c>
      <c r="F689" t="s">
        <v>92</v>
      </c>
      <c r="G689" t="s">
        <v>25</v>
      </c>
      <c r="H689" t="s">
        <v>63</v>
      </c>
      <c r="I689" t="s">
        <v>32</v>
      </c>
      <c r="J689" t="s">
        <v>848</v>
      </c>
    </row>
    <row r="690" spans="1:10" x14ac:dyDescent="0.3">
      <c r="A690" t="s">
        <v>129</v>
      </c>
      <c r="B690">
        <v>41675.01</v>
      </c>
      <c r="C690">
        <v>33765.089999999997</v>
      </c>
      <c r="D690" s="1">
        <v>43641</v>
      </c>
      <c r="E690" t="s">
        <v>76</v>
      </c>
      <c r="F690" t="s">
        <v>71</v>
      </c>
      <c r="G690" t="s">
        <v>130</v>
      </c>
      <c r="H690" t="s">
        <v>159</v>
      </c>
      <c r="I690" t="s">
        <v>27</v>
      </c>
      <c r="J690" t="s">
        <v>849</v>
      </c>
    </row>
    <row r="691" spans="1:10" x14ac:dyDescent="0.3">
      <c r="A691" t="s">
        <v>17</v>
      </c>
      <c r="B691">
        <v>173418.59</v>
      </c>
      <c r="C691">
        <v>140746.53</v>
      </c>
      <c r="D691" s="1">
        <v>43604</v>
      </c>
      <c r="E691" t="s">
        <v>29</v>
      </c>
      <c r="F691" t="s">
        <v>106</v>
      </c>
      <c r="G691" t="s">
        <v>19</v>
      </c>
      <c r="H691" t="s">
        <v>78</v>
      </c>
      <c r="I691" t="s">
        <v>27</v>
      </c>
      <c r="J691" t="s">
        <v>850</v>
      </c>
    </row>
    <row r="692" spans="1:10" x14ac:dyDescent="0.3">
      <c r="A692" t="s">
        <v>34</v>
      </c>
      <c r="B692">
        <v>146076.81</v>
      </c>
      <c r="C692">
        <v>123230.39999999999</v>
      </c>
      <c r="D692" s="1">
        <v>43673</v>
      </c>
      <c r="E692" t="s">
        <v>23</v>
      </c>
      <c r="F692" t="s">
        <v>56</v>
      </c>
      <c r="G692" t="s">
        <v>36</v>
      </c>
      <c r="H692" t="s">
        <v>37</v>
      </c>
      <c r="I692" t="s">
        <v>27</v>
      </c>
      <c r="J692" t="s">
        <v>851</v>
      </c>
    </row>
    <row r="693" spans="1:10" x14ac:dyDescent="0.3">
      <c r="A693" t="s">
        <v>10</v>
      </c>
      <c r="B693">
        <v>179179.73</v>
      </c>
      <c r="C693">
        <v>154936.71</v>
      </c>
      <c r="D693" s="1">
        <v>43760</v>
      </c>
      <c r="E693" t="s">
        <v>91</v>
      </c>
      <c r="F693" t="s">
        <v>109</v>
      </c>
      <c r="G693" t="s">
        <v>13</v>
      </c>
      <c r="H693" t="s">
        <v>81</v>
      </c>
      <c r="I693" t="s">
        <v>27</v>
      </c>
      <c r="J693" t="s">
        <v>852</v>
      </c>
    </row>
    <row r="694" spans="1:10" x14ac:dyDescent="0.3">
      <c r="A694" t="s">
        <v>22</v>
      </c>
      <c r="B694">
        <v>126021.1</v>
      </c>
      <c r="C694">
        <v>101762.04</v>
      </c>
      <c r="D694" s="1">
        <v>43995</v>
      </c>
      <c r="E694" t="s">
        <v>76</v>
      </c>
      <c r="F694" t="s">
        <v>56</v>
      </c>
      <c r="G694" t="s">
        <v>25</v>
      </c>
      <c r="H694" t="s">
        <v>63</v>
      </c>
      <c r="I694" t="s">
        <v>32</v>
      </c>
      <c r="J694" t="s">
        <v>853</v>
      </c>
    </row>
    <row r="695" spans="1:10" x14ac:dyDescent="0.3">
      <c r="A695" t="s">
        <v>17</v>
      </c>
      <c r="B695">
        <v>33013.08</v>
      </c>
      <c r="C695">
        <v>26743.9</v>
      </c>
      <c r="D695" s="1">
        <v>44163</v>
      </c>
      <c r="E695" t="s">
        <v>29</v>
      </c>
      <c r="F695" t="s">
        <v>45</v>
      </c>
      <c r="G695" t="s">
        <v>19</v>
      </c>
      <c r="H695" t="s">
        <v>20</v>
      </c>
      <c r="I695" t="s">
        <v>27</v>
      </c>
      <c r="J695" t="s">
        <v>854</v>
      </c>
    </row>
    <row r="696" spans="1:10" x14ac:dyDescent="0.3">
      <c r="A696" t="s">
        <v>10</v>
      </c>
      <c r="B696">
        <v>156453.01</v>
      </c>
      <c r="C696">
        <v>128494.86</v>
      </c>
      <c r="D696" s="1">
        <v>43931</v>
      </c>
      <c r="E696" t="s">
        <v>40</v>
      </c>
      <c r="F696" t="s">
        <v>56</v>
      </c>
      <c r="G696" t="s">
        <v>13</v>
      </c>
      <c r="H696" t="s">
        <v>72</v>
      </c>
      <c r="I696" t="s">
        <v>27</v>
      </c>
      <c r="J696" t="s">
        <v>855</v>
      </c>
    </row>
    <row r="697" spans="1:10" x14ac:dyDescent="0.3">
      <c r="A697" t="s">
        <v>22</v>
      </c>
      <c r="B697">
        <v>165696.9</v>
      </c>
      <c r="C697">
        <v>132275.84</v>
      </c>
      <c r="D697" s="1">
        <v>44126</v>
      </c>
      <c r="E697" t="s">
        <v>29</v>
      </c>
      <c r="F697" t="s">
        <v>95</v>
      </c>
      <c r="G697" t="s">
        <v>25</v>
      </c>
      <c r="H697" t="s">
        <v>52</v>
      </c>
      <c r="I697" t="s">
        <v>27</v>
      </c>
      <c r="J697" t="s">
        <v>856</v>
      </c>
    </row>
    <row r="698" spans="1:10" x14ac:dyDescent="0.3">
      <c r="A698" t="s">
        <v>17</v>
      </c>
      <c r="B698">
        <v>274242.36</v>
      </c>
      <c r="C698">
        <v>227950.25</v>
      </c>
      <c r="D698" s="1">
        <v>44086</v>
      </c>
      <c r="E698" t="s">
        <v>181</v>
      </c>
      <c r="F698" t="s">
        <v>106</v>
      </c>
      <c r="G698" t="s">
        <v>19</v>
      </c>
      <c r="H698" t="s">
        <v>20</v>
      </c>
      <c r="I698" t="s">
        <v>32</v>
      </c>
      <c r="J698" t="s">
        <v>857</v>
      </c>
    </row>
    <row r="699" spans="1:10" x14ac:dyDescent="0.3">
      <c r="A699" t="s">
        <v>10</v>
      </c>
      <c r="B699">
        <v>97063.22</v>
      </c>
      <c r="C699">
        <v>78067.95</v>
      </c>
      <c r="D699" s="1">
        <v>43757</v>
      </c>
      <c r="E699" t="s">
        <v>23</v>
      </c>
      <c r="F699" t="s">
        <v>109</v>
      </c>
      <c r="G699" t="s">
        <v>13</v>
      </c>
      <c r="H699" t="s">
        <v>72</v>
      </c>
      <c r="I699" t="s">
        <v>15</v>
      </c>
      <c r="J699" t="s">
        <v>858</v>
      </c>
    </row>
    <row r="700" spans="1:10" x14ac:dyDescent="0.3">
      <c r="A700" t="s">
        <v>10</v>
      </c>
      <c r="B700">
        <v>174919.64</v>
      </c>
      <c r="C700">
        <v>146845.04</v>
      </c>
      <c r="D700" s="1">
        <v>43901</v>
      </c>
      <c r="E700" t="s">
        <v>40</v>
      </c>
      <c r="F700" t="s">
        <v>89</v>
      </c>
      <c r="G700" t="s">
        <v>13</v>
      </c>
      <c r="H700" t="s">
        <v>110</v>
      </c>
      <c r="I700" t="s">
        <v>32</v>
      </c>
      <c r="J700" t="s">
        <v>859</v>
      </c>
    </row>
    <row r="701" spans="1:10" x14ac:dyDescent="0.3">
      <c r="A701" t="s">
        <v>22</v>
      </c>
      <c r="B701">
        <v>77522.570000000007</v>
      </c>
      <c r="C701">
        <v>64227.45</v>
      </c>
      <c r="D701" s="1">
        <v>43677</v>
      </c>
      <c r="E701" t="s">
        <v>181</v>
      </c>
      <c r="F701" t="s">
        <v>144</v>
      </c>
      <c r="G701" t="s">
        <v>25</v>
      </c>
      <c r="H701" t="s">
        <v>52</v>
      </c>
      <c r="I701" t="s">
        <v>32</v>
      </c>
      <c r="J701" t="s">
        <v>860</v>
      </c>
    </row>
    <row r="702" spans="1:10" x14ac:dyDescent="0.3">
      <c r="A702" t="s">
        <v>22</v>
      </c>
      <c r="B702">
        <v>55790.71</v>
      </c>
      <c r="C702">
        <v>48783.4</v>
      </c>
      <c r="D702" s="1">
        <v>44053</v>
      </c>
      <c r="E702" t="s">
        <v>23</v>
      </c>
      <c r="F702" t="s">
        <v>56</v>
      </c>
      <c r="G702" t="s">
        <v>25</v>
      </c>
      <c r="H702" t="s">
        <v>26</v>
      </c>
      <c r="I702" t="s">
        <v>27</v>
      </c>
      <c r="J702" t="s">
        <v>861</v>
      </c>
    </row>
    <row r="703" spans="1:10" x14ac:dyDescent="0.3">
      <c r="A703" t="s">
        <v>151</v>
      </c>
      <c r="B703">
        <v>127591.73</v>
      </c>
      <c r="C703">
        <v>108988.86</v>
      </c>
      <c r="D703" s="1">
        <v>43951</v>
      </c>
      <c r="E703" t="s">
        <v>11</v>
      </c>
      <c r="F703" t="s">
        <v>135</v>
      </c>
      <c r="G703" t="s">
        <v>152</v>
      </c>
      <c r="H703" t="s">
        <v>153</v>
      </c>
      <c r="I703" t="s">
        <v>32</v>
      </c>
      <c r="J703" t="s">
        <v>862</v>
      </c>
    </row>
    <row r="704" spans="1:10" x14ac:dyDescent="0.3">
      <c r="A704" t="s">
        <v>22</v>
      </c>
      <c r="B704">
        <v>101846.87</v>
      </c>
      <c r="C704">
        <v>88066.99</v>
      </c>
      <c r="D704" s="1">
        <v>43647</v>
      </c>
      <c r="E704" t="s">
        <v>40</v>
      </c>
      <c r="F704" t="s">
        <v>229</v>
      </c>
      <c r="G704" t="s">
        <v>25</v>
      </c>
      <c r="H704" t="s">
        <v>52</v>
      </c>
      <c r="I704" t="s">
        <v>27</v>
      </c>
      <c r="J704" t="s">
        <v>863</v>
      </c>
    </row>
    <row r="705" spans="1:10" x14ac:dyDescent="0.3">
      <c r="A705" t="s">
        <v>17</v>
      </c>
      <c r="B705">
        <v>118021.59</v>
      </c>
      <c r="C705">
        <v>98229.37</v>
      </c>
      <c r="D705" s="1">
        <v>43576</v>
      </c>
      <c r="E705" t="s">
        <v>76</v>
      </c>
      <c r="F705" t="s">
        <v>312</v>
      </c>
      <c r="G705" t="s">
        <v>19</v>
      </c>
      <c r="H705" t="s">
        <v>78</v>
      </c>
      <c r="I705" t="s">
        <v>27</v>
      </c>
      <c r="J705" t="s">
        <v>864</v>
      </c>
    </row>
    <row r="706" spans="1:10" x14ac:dyDescent="0.3">
      <c r="A706" t="s">
        <v>34</v>
      </c>
      <c r="B706">
        <v>66613.31</v>
      </c>
      <c r="C706">
        <v>55462.239999999998</v>
      </c>
      <c r="D706" s="1">
        <v>43733</v>
      </c>
      <c r="E706" t="s">
        <v>29</v>
      </c>
      <c r="F706" t="s">
        <v>41</v>
      </c>
      <c r="G706" t="s">
        <v>36</v>
      </c>
      <c r="H706" t="s">
        <v>37</v>
      </c>
      <c r="I706" t="s">
        <v>27</v>
      </c>
      <c r="J706" t="s">
        <v>865</v>
      </c>
    </row>
    <row r="707" spans="1:10" x14ac:dyDescent="0.3">
      <c r="A707" t="s">
        <v>34</v>
      </c>
      <c r="B707">
        <v>91842.59</v>
      </c>
      <c r="C707">
        <v>73979.210000000006</v>
      </c>
      <c r="D707" s="1">
        <v>43553</v>
      </c>
      <c r="E707" t="s">
        <v>11</v>
      </c>
      <c r="F707" t="s">
        <v>277</v>
      </c>
      <c r="G707" t="s">
        <v>36</v>
      </c>
      <c r="H707" t="s">
        <v>37</v>
      </c>
      <c r="I707" t="s">
        <v>27</v>
      </c>
      <c r="J707" t="s">
        <v>866</v>
      </c>
    </row>
    <row r="708" spans="1:10" x14ac:dyDescent="0.3">
      <c r="A708" t="s">
        <v>17</v>
      </c>
      <c r="B708">
        <v>108158.8</v>
      </c>
      <c r="C708">
        <v>89328.35</v>
      </c>
      <c r="D708" s="1">
        <v>44084</v>
      </c>
      <c r="E708" t="s">
        <v>23</v>
      </c>
      <c r="F708" t="s">
        <v>97</v>
      </c>
      <c r="G708" t="s">
        <v>19</v>
      </c>
      <c r="H708" t="s">
        <v>31</v>
      </c>
      <c r="I708" t="s">
        <v>27</v>
      </c>
      <c r="J708" t="s">
        <v>867</v>
      </c>
    </row>
    <row r="709" spans="1:10" x14ac:dyDescent="0.3">
      <c r="A709" t="s">
        <v>22</v>
      </c>
      <c r="B709">
        <v>38982.26</v>
      </c>
      <c r="C709">
        <v>32854.25</v>
      </c>
      <c r="D709" s="1">
        <v>43809</v>
      </c>
      <c r="E709" t="s">
        <v>40</v>
      </c>
      <c r="F709" t="s">
        <v>24</v>
      </c>
      <c r="G709" t="s">
        <v>25</v>
      </c>
      <c r="H709" t="s">
        <v>167</v>
      </c>
      <c r="I709" t="s">
        <v>32</v>
      </c>
      <c r="J709" t="s">
        <v>868</v>
      </c>
    </row>
    <row r="710" spans="1:10" x14ac:dyDescent="0.3">
      <c r="A710" t="s">
        <v>22</v>
      </c>
      <c r="B710">
        <v>181882.43</v>
      </c>
      <c r="C710">
        <v>149834.75</v>
      </c>
      <c r="D710" s="1">
        <v>43674</v>
      </c>
      <c r="E710" t="s">
        <v>91</v>
      </c>
      <c r="F710" t="s">
        <v>367</v>
      </c>
      <c r="G710" t="s">
        <v>25</v>
      </c>
      <c r="H710" t="s">
        <v>26</v>
      </c>
      <c r="I710" t="s">
        <v>27</v>
      </c>
      <c r="J710" t="s">
        <v>869</v>
      </c>
    </row>
    <row r="711" spans="1:10" x14ac:dyDescent="0.3">
      <c r="A711" t="s">
        <v>143</v>
      </c>
      <c r="B711">
        <v>59163.79</v>
      </c>
      <c r="C711">
        <v>50419.38</v>
      </c>
      <c r="D711" s="1">
        <v>43772</v>
      </c>
      <c r="E711" t="s">
        <v>51</v>
      </c>
      <c r="F711" t="s">
        <v>367</v>
      </c>
      <c r="G711" t="s">
        <v>145</v>
      </c>
      <c r="H711" t="s">
        <v>146</v>
      </c>
      <c r="I711" t="s">
        <v>32</v>
      </c>
      <c r="J711" t="s">
        <v>870</v>
      </c>
    </row>
    <row r="712" spans="1:10" x14ac:dyDescent="0.3">
      <c r="A712" t="s">
        <v>17</v>
      </c>
      <c r="B712">
        <v>94925</v>
      </c>
      <c r="C712">
        <v>77572.710000000006</v>
      </c>
      <c r="D712" s="1">
        <v>43738</v>
      </c>
      <c r="E712" t="s">
        <v>55</v>
      </c>
      <c r="F712" t="s">
        <v>35</v>
      </c>
      <c r="G712" t="s">
        <v>19</v>
      </c>
      <c r="H712" t="s">
        <v>49</v>
      </c>
      <c r="I712" t="s">
        <v>32</v>
      </c>
      <c r="J712" t="s">
        <v>871</v>
      </c>
    </row>
    <row r="713" spans="1:10" x14ac:dyDescent="0.3">
      <c r="A713" t="s">
        <v>10</v>
      </c>
      <c r="B713">
        <v>79088.7</v>
      </c>
      <c r="C713">
        <v>67415.210000000006</v>
      </c>
      <c r="D713" s="1">
        <v>43975</v>
      </c>
      <c r="E713" t="s">
        <v>76</v>
      </c>
      <c r="F713" t="s">
        <v>211</v>
      </c>
      <c r="G713" t="s">
        <v>13</v>
      </c>
      <c r="H713" t="s">
        <v>14</v>
      </c>
      <c r="I713" t="s">
        <v>27</v>
      </c>
      <c r="J713" t="s">
        <v>872</v>
      </c>
    </row>
    <row r="714" spans="1:10" x14ac:dyDescent="0.3">
      <c r="A714" t="s">
        <v>17</v>
      </c>
      <c r="B714">
        <v>164267.72</v>
      </c>
      <c r="C714">
        <v>139069.04999999999</v>
      </c>
      <c r="D714" s="1">
        <v>44053</v>
      </c>
      <c r="E714" t="s">
        <v>23</v>
      </c>
      <c r="F714" t="s">
        <v>256</v>
      </c>
      <c r="G714" t="s">
        <v>19</v>
      </c>
      <c r="H714" t="s">
        <v>31</v>
      </c>
      <c r="I714" t="s">
        <v>27</v>
      </c>
      <c r="J714" t="s">
        <v>873</v>
      </c>
    </row>
    <row r="715" spans="1:10" x14ac:dyDescent="0.3">
      <c r="A715" t="s">
        <v>17</v>
      </c>
      <c r="B715">
        <v>156110.39999999999</v>
      </c>
      <c r="C715">
        <v>132584.56</v>
      </c>
      <c r="D715" s="1">
        <v>43668</v>
      </c>
      <c r="E715" t="s">
        <v>76</v>
      </c>
      <c r="F715" t="s">
        <v>292</v>
      </c>
      <c r="G715" t="s">
        <v>19</v>
      </c>
      <c r="H715" t="s">
        <v>78</v>
      </c>
      <c r="I715" t="s">
        <v>27</v>
      </c>
      <c r="J715" t="s">
        <v>874</v>
      </c>
    </row>
    <row r="716" spans="1:10" x14ac:dyDescent="0.3">
      <c r="A716" t="s">
        <v>34</v>
      </c>
      <c r="B716">
        <v>80013.81</v>
      </c>
      <c r="C716">
        <v>65587.320000000007</v>
      </c>
      <c r="D716" s="1">
        <v>43857</v>
      </c>
      <c r="E716" t="s">
        <v>29</v>
      </c>
      <c r="F716" t="s">
        <v>45</v>
      </c>
      <c r="G716" t="s">
        <v>36</v>
      </c>
      <c r="H716" t="s">
        <v>104</v>
      </c>
      <c r="I716" t="s">
        <v>27</v>
      </c>
      <c r="J716" t="s">
        <v>875</v>
      </c>
    </row>
    <row r="717" spans="1:10" x14ac:dyDescent="0.3">
      <c r="A717" t="s">
        <v>10</v>
      </c>
      <c r="B717">
        <v>57347.48</v>
      </c>
      <c r="C717">
        <v>50041.41</v>
      </c>
      <c r="D717" s="1">
        <v>44173</v>
      </c>
      <c r="E717" t="s">
        <v>76</v>
      </c>
      <c r="F717" t="s">
        <v>56</v>
      </c>
      <c r="G717" t="s">
        <v>13</v>
      </c>
      <c r="H717" t="s">
        <v>72</v>
      </c>
      <c r="I717" t="s">
        <v>27</v>
      </c>
      <c r="J717" t="s">
        <v>876</v>
      </c>
    </row>
    <row r="718" spans="1:10" x14ac:dyDescent="0.3">
      <c r="A718" t="s">
        <v>22</v>
      </c>
      <c r="B718">
        <v>99518.86</v>
      </c>
      <c r="C718">
        <v>81854.259999999995</v>
      </c>
      <c r="D718" s="1">
        <v>43802</v>
      </c>
      <c r="E718" t="s">
        <v>91</v>
      </c>
      <c r="F718" t="s">
        <v>92</v>
      </c>
      <c r="G718" t="s">
        <v>25</v>
      </c>
      <c r="H718" t="s">
        <v>26</v>
      </c>
      <c r="I718" t="s">
        <v>27</v>
      </c>
      <c r="J718" t="s">
        <v>877</v>
      </c>
    </row>
    <row r="719" spans="1:10" x14ac:dyDescent="0.3">
      <c r="A719" t="s">
        <v>216</v>
      </c>
      <c r="B719">
        <v>104152.15</v>
      </c>
      <c r="C719">
        <v>85696.39</v>
      </c>
      <c r="D719" s="1">
        <v>43621</v>
      </c>
      <c r="E719" t="s">
        <v>51</v>
      </c>
      <c r="F719" t="s">
        <v>135</v>
      </c>
      <c r="G719" t="s">
        <v>217</v>
      </c>
      <c r="H719" t="s">
        <v>218</v>
      </c>
      <c r="I719" t="s">
        <v>32</v>
      </c>
      <c r="J719" t="s">
        <v>878</v>
      </c>
    </row>
    <row r="720" spans="1:10" x14ac:dyDescent="0.3">
      <c r="A720" t="s">
        <v>22</v>
      </c>
      <c r="B720">
        <v>172505.24</v>
      </c>
      <c r="C720">
        <v>139125.48000000001</v>
      </c>
      <c r="D720" s="1">
        <v>43871</v>
      </c>
      <c r="E720" t="s">
        <v>55</v>
      </c>
      <c r="F720" t="s">
        <v>164</v>
      </c>
      <c r="G720" t="s">
        <v>25</v>
      </c>
      <c r="H720" t="s">
        <v>87</v>
      </c>
      <c r="I720" t="s">
        <v>27</v>
      </c>
      <c r="J720" t="s">
        <v>879</v>
      </c>
    </row>
    <row r="721" spans="1:10" x14ac:dyDescent="0.3">
      <c r="A721" t="s">
        <v>22</v>
      </c>
      <c r="B721">
        <v>48763.58</v>
      </c>
      <c r="C721">
        <v>39435.11</v>
      </c>
      <c r="D721" s="1">
        <v>44026</v>
      </c>
      <c r="E721" t="s">
        <v>51</v>
      </c>
      <c r="F721" t="s">
        <v>41</v>
      </c>
      <c r="G721" t="s">
        <v>25</v>
      </c>
      <c r="H721" t="s">
        <v>167</v>
      </c>
      <c r="I721" t="s">
        <v>27</v>
      </c>
      <c r="J721" t="s">
        <v>880</v>
      </c>
    </row>
    <row r="722" spans="1:10" x14ac:dyDescent="0.3">
      <c r="A722" t="s">
        <v>22</v>
      </c>
      <c r="B722">
        <v>65760.39</v>
      </c>
      <c r="C722">
        <v>56672.3</v>
      </c>
      <c r="D722" s="1">
        <v>44084</v>
      </c>
      <c r="E722" t="s">
        <v>51</v>
      </c>
      <c r="F722" t="s">
        <v>156</v>
      </c>
      <c r="G722" t="s">
        <v>25</v>
      </c>
      <c r="H722" t="s">
        <v>52</v>
      </c>
      <c r="I722" t="s">
        <v>27</v>
      </c>
      <c r="J722" t="s">
        <v>881</v>
      </c>
    </row>
    <row r="723" spans="1:10" x14ac:dyDescent="0.3">
      <c r="A723" t="s">
        <v>216</v>
      </c>
      <c r="B723">
        <v>200472.46</v>
      </c>
      <c r="C723">
        <v>170181.07</v>
      </c>
      <c r="D723" s="1">
        <v>44001</v>
      </c>
      <c r="E723" t="s">
        <v>29</v>
      </c>
      <c r="F723" t="s">
        <v>89</v>
      </c>
      <c r="G723" t="s">
        <v>217</v>
      </c>
      <c r="H723" t="s">
        <v>218</v>
      </c>
      <c r="I723" t="s">
        <v>27</v>
      </c>
      <c r="J723" t="s">
        <v>882</v>
      </c>
    </row>
    <row r="724" spans="1:10" x14ac:dyDescent="0.3">
      <c r="A724" t="s">
        <v>34</v>
      </c>
      <c r="B724">
        <v>86071.63</v>
      </c>
      <c r="C724">
        <v>71198.45</v>
      </c>
      <c r="D724" s="1">
        <v>43782</v>
      </c>
      <c r="E724" t="s">
        <v>29</v>
      </c>
      <c r="F724" t="s">
        <v>335</v>
      </c>
      <c r="G724" t="s">
        <v>36</v>
      </c>
      <c r="H724" t="s">
        <v>37</v>
      </c>
      <c r="I724" t="s">
        <v>15</v>
      </c>
      <c r="J724" t="s">
        <v>883</v>
      </c>
    </row>
    <row r="725" spans="1:10" x14ac:dyDescent="0.3">
      <c r="A725" t="s">
        <v>10</v>
      </c>
      <c r="B725">
        <v>53957.42</v>
      </c>
      <c r="C725">
        <v>46905.19</v>
      </c>
      <c r="D725" s="1">
        <v>43610</v>
      </c>
      <c r="E725" t="s">
        <v>51</v>
      </c>
      <c r="F725" t="s">
        <v>56</v>
      </c>
      <c r="G725" t="s">
        <v>13</v>
      </c>
      <c r="H725" t="s">
        <v>110</v>
      </c>
      <c r="I725" t="s">
        <v>27</v>
      </c>
      <c r="J725" t="s">
        <v>884</v>
      </c>
    </row>
    <row r="726" spans="1:10" x14ac:dyDescent="0.3">
      <c r="A726" t="s">
        <v>129</v>
      </c>
      <c r="B726">
        <v>235608.66</v>
      </c>
      <c r="C726">
        <v>201468.96</v>
      </c>
      <c r="D726" s="1">
        <v>44039</v>
      </c>
      <c r="E726" t="s">
        <v>11</v>
      </c>
      <c r="F726" t="s">
        <v>24</v>
      </c>
      <c r="G726" t="s">
        <v>130</v>
      </c>
      <c r="H726" t="s">
        <v>159</v>
      </c>
      <c r="I726" t="s">
        <v>15</v>
      </c>
      <c r="J726" t="s">
        <v>885</v>
      </c>
    </row>
    <row r="727" spans="1:10" x14ac:dyDescent="0.3">
      <c r="A727" t="s">
        <v>129</v>
      </c>
      <c r="B727">
        <v>52388.85</v>
      </c>
      <c r="C727">
        <v>45641.17</v>
      </c>
      <c r="D727" s="1">
        <v>44043</v>
      </c>
      <c r="E727" t="s">
        <v>29</v>
      </c>
      <c r="F727" t="s">
        <v>56</v>
      </c>
      <c r="G727" t="s">
        <v>130</v>
      </c>
      <c r="H727" t="s">
        <v>131</v>
      </c>
      <c r="I727" t="s">
        <v>27</v>
      </c>
      <c r="J727" t="s">
        <v>886</v>
      </c>
    </row>
    <row r="728" spans="1:10" x14ac:dyDescent="0.3">
      <c r="A728" t="s">
        <v>10</v>
      </c>
      <c r="B728">
        <v>133055.04000000001</v>
      </c>
      <c r="C728">
        <v>105366.29</v>
      </c>
      <c r="D728" s="1">
        <v>43749</v>
      </c>
      <c r="E728" t="s">
        <v>91</v>
      </c>
      <c r="F728" t="s">
        <v>24</v>
      </c>
      <c r="G728" t="s">
        <v>13</v>
      </c>
      <c r="H728" t="s">
        <v>14</v>
      </c>
      <c r="I728" t="s">
        <v>27</v>
      </c>
      <c r="J728" t="s">
        <v>887</v>
      </c>
    </row>
    <row r="729" spans="1:10" x14ac:dyDescent="0.3">
      <c r="A729" t="s">
        <v>22</v>
      </c>
      <c r="B729">
        <v>52227.07</v>
      </c>
      <c r="C729">
        <v>45124.19</v>
      </c>
      <c r="D729" s="1">
        <v>43538</v>
      </c>
      <c r="E729" t="s">
        <v>91</v>
      </c>
      <c r="F729" t="s">
        <v>400</v>
      </c>
      <c r="G729" t="s">
        <v>25</v>
      </c>
      <c r="H729" t="s">
        <v>26</v>
      </c>
      <c r="I729" t="s">
        <v>27</v>
      </c>
      <c r="J729" t="s">
        <v>888</v>
      </c>
    </row>
    <row r="730" spans="1:10" x14ac:dyDescent="0.3">
      <c r="A730" t="s">
        <v>17</v>
      </c>
      <c r="B730">
        <v>124534.96</v>
      </c>
      <c r="C730">
        <v>107012.89</v>
      </c>
      <c r="D730" s="1">
        <v>44030</v>
      </c>
      <c r="E730" t="s">
        <v>91</v>
      </c>
      <c r="F730" t="s">
        <v>92</v>
      </c>
      <c r="G730" t="s">
        <v>19</v>
      </c>
      <c r="H730" t="s">
        <v>78</v>
      </c>
      <c r="I730" t="s">
        <v>27</v>
      </c>
      <c r="J730" t="s">
        <v>889</v>
      </c>
    </row>
    <row r="731" spans="1:10" x14ac:dyDescent="0.3">
      <c r="A731" t="s">
        <v>17</v>
      </c>
      <c r="B731">
        <v>174951.18</v>
      </c>
      <c r="C731">
        <v>142690.18</v>
      </c>
      <c r="D731" s="1">
        <v>43726</v>
      </c>
      <c r="E731" t="s">
        <v>40</v>
      </c>
      <c r="F731" t="s">
        <v>133</v>
      </c>
      <c r="G731" t="s">
        <v>19</v>
      </c>
      <c r="H731" t="s">
        <v>20</v>
      </c>
      <c r="I731" t="s">
        <v>32</v>
      </c>
      <c r="J731" t="s">
        <v>890</v>
      </c>
    </row>
    <row r="732" spans="1:10" x14ac:dyDescent="0.3">
      <c r="A732" t="s">
        <v>22</v>
      </c>
      <c r="B732">
        <v>76943.740000000005</v>
      </c>
      <c r="C732">
        <v>62870.73</v>
      </c>
      <c r="D732" s="1">
        <v>43471</v>
      </c>
      <c r="E732" t="s">
        <v>29</v>
      </c>
      <c r="F732" t="s">
        <v>56</v>
      </c>
      <c r="G732" t="s">
        <v>25</v>
      </c>
      <c r="H732" t="s">
        <v>167</v>
      </c>
      <c r="I732" t="s">
        <v>27</v>
      </c>
      <c r="J732" t="s">
        <v>891</v>
      </c>
    </row>
    <row r="733" spans="1:10" x14ac:dyDescent="0.3">
      <c r="A733" t="s">
        <v>17</v>
      </c>
      <c r="B733">
        <v>81095.39</v>
      </c>
      <c r="C733">
        <v>64316.75</v>
      </c>
      <c r="D733" s="1">
        <v>44052</v>
      </c>
      <c r="E733" t="s">
        <v>11</v>
      </c>
      <c r="F733" t="s">
        <v>300</v>
      </c>
      <c r="G733" t="s">
        <v>19</v>
      </c>
      <c r="H733" t="s">
        <v>49</v>
      </c>
      <c r="I733" t="s">
        <v>27</v>
      </c>
      <c r="J733" t="s">
        <v>892</v>
      </c>
    </row>
    <row r="734" spans="1:10" x14ac:dyDescent="0.3">
      <c r="A734" t="s">
        <v>10</v>
      </c>
      <c r="B734">
        <v>40385.449999999997</v>
      </c>
      <c r="C734">
        <v>32591.06</v>
      </c>
      <c r="D734" s="1">
        <v>44027</v>
      </c>
      <c r="E734" t="s">
        <v>51</v>
      </c>
      <c r="F734" t="s">
        <v>126</v>
      </c>
      <c r="G734" t="s">
        <v>13</v>
      </c>
      <c r="H734" t="s">
        <v>14</v>
      </c>
      <c r="I734" t="s">
        <v>27</v>
      </c>
      <c r="J734" t="s">
        <v>893</v>
      </c>
    </row>
    <row r="735" spans="1:10" x14ac:dyDescent="0.3">
      <c r="A735" t="s">
        <v>22</v>
      </c>
      <c r="B735">
        <v>161544.06</v>
      </c>
      <c r="C735">
        <v>132579.21</v>
      </c>
      <c r="D735" s="1">
        <v>43808</v>
      </c>
      <c r="E735" t="s">
        <v>40</v>
      </c>
      <c r="F735" t="s">
        <v>56</v>
      </c>
      <c r="G735" t="s">
        <v>25</v>
      </c>
      <c r="H735" t="s">
        <v>167</v>
      </c>
      <c r="I735" t="s">
        <v>27</v>
      </c>
      <c r="J735" t="s">
        <v>894</v>
      </c>
    </row>
    <row r="736" spans="1:10" x14ac:dyDescent="0.3">
      <c r="A736" t="s">
        <v>151</v>
      </c>
      <c r="B736">
        <v>37892.58</v>
      </c>
      <c r="C736">
        <v>30010.92</v>
      </c>
      <c r="D736" s="1">
        <v>43486</v>
      </c>
      <c r="E736" t="s">
        <v>29</v>
      </c>
      <c r="F736" t="s">
        <v>56</v>
      </c>
      <c r="G736" t="s">
        <v>152</v>
      </c>
      <c r="H736" t="s">
        <v>153</v>
      </c>
      <c r="I736" t="s">
        <v>27</v>
      </c>
      <c r="J736" t="s">
        <v>895</v>
      </c>
    </row>
    <row r="737" spans="1:10" x14ac:dyDescent="0.3">
      <c r="A737" t="s">
        <v>17</v>
      </c>
      <c r="B737">
        <v>78540.62</v>
      </c>
      <c r="C737">
        <v>63987.040000000001</v>
      </c>
      <c r="D737" s="1">
        <v>43687</v>
      </c>
      <c r="E737" t="s">
        <v>40</v>
      </c>
      <c r="F737" t="s">
        <v>314</v>
      </c>
      <c r="G737" t="s">
        <v>19</v>
      </c>
      <c r="H737" t="s">
        <v>31</v>
      </c>
      <c r="I737" t="s">
        <v>27</v>
      </c>
      <c r="J737" t="s">
        <v>896</v>
      </c>
    </row>
    <row r="738" spans="1:10" x14ac:dyDescent="0.3">
      <c r="A738" t="s">
        <v>66</v>
      </c>
      <c r="B738">
        <v>82525.61</v>
      </c>
      <c r="C738">
        <v>68446.740000000005</v>
      </c>
      <c r="D738" s="1">
        <v>43468</v>
      </c>
      <c r="E738" t="s">
        <v>40</v>
      </c>
      <c r="F738" t="s">
        <v>56</v>
      </c>
      <c r="G738" t="s">
        <v>68</v>
      </c>
      <c r="H738" t="s">
        <v>69</v>
      </c>
      <c r="I738" t="s">
        <v>27</v>
      </c>
      <c r="J738" t="s">
        <v>897</v>
      </c>
    </row>
    <row r="739" spans="1:10" x14ac:dyDescent="0.3">
      <c r="A739" t="s">
        <v>22</v>
      </c>
      <c r="B739">
        <v>86083.27</v>
      </c>
      <c r="C739">
        <v>72309.95</v>
      </c>
      <c r="D739" s="1">
        <v>43799</v>
      </c>
      <c r="E739" t="s">
        <v>29</v>
      </c>
      <c r="F739" t="s">
        <v>48</v>
      </c>
      <c r="G739" t="s">
        <v>25</v>
      </c>
      <c r="H739" t="s">
        <v>63</v>
      </c>
      <c r="I739" t="s">
        <v>27</v>
      </c>
      <c r="J739" t="s">
        <v>898</v>
      </c>
    </row>
    <row r="740" spans="1:10" x14ac:dyDescent="0.3">
      <c r="A740" t="s">
        <v>22</v>
      </c>
      <c r="B740">
        <v>97439.360000000001</v>
      </c>
      <c r="C740">
        <v>79773.600000000006</v>
      </c>
      <c r="D740" s="1">
        <v>43685</v>
      </c>
      <c r="E740" t="s">
        <v>11</v>
      </c>
      <c r="F740" t="s">
        <v>41</v>
      </c>
      <c r="G740" t="s">
        <v>25</v>
      </c>
      <c r="H740" t="s">
        <v>87</v>
      </c>
      <c r="I740" t="s">
        <v>27</v>
      </c>
      <c r="J740" t="s">
        <v>899</v>
      </c>
    </row>
    <row r="741" spans="1:10" x14ac:dyDescent="0.3">
      <c r="A741" t="s">
        <v>17</v>
      </c>
      <c r="B741">
        <v>70657.259999999995</v>
      </c>
      <c r="C741">
        <v>61330.5</v>
      </c>
      <c r="D741" s="1">
        <v>43960</v>
      </c>
      <c r="E741" t="s">
        <v>99</v>
      </c>
      <c r="F741" t="s">
        <v>149</v>
      </c>
      <c r="G741" t="s">
        <v>19</v>
      </c>
      <c r="H741" t="s">
        <v>78</v>
      </c>
      <c r="I741" t="s">
        <v>27</v>
      </c>
      <c r="J741" t="s">
        <v>900</v>
      </c>
    </row>
    <row r="742" spans="1:10" x14ac:dyDescent="0.3">
      <c r="A742" t="s">
        <v>22</v>
      </c>
      <c r="B742">
        <v>155766.23000000001</v>
      </c>
      <c r="C742">
        <v>131529</v>
      </c>
      <c r="D742" s="1">
        <v>43978</v>
      </c>
      <c r="E742" t="s">
        <v>11</v>
      </c>
      <c r="F742" t="s">
        <v>164</v>
      </c>
      <c r="G742" t="s">
        <v>25</v>
      </c>
      <c r="H742" t="s">
        <v>52</v>
      </c>
      <c r="I742" t="s">
        <v>27</v>
      </c>
      <c r="J742" t="s">
        <v>901</v>
      </c>
    </row>
    <row r="743" spans="1:10" x14ac:dyDescent="0.3">
      <c r="A743" t="s">
        <v>54</v>
      </c>
      <c r="B743">
        <v>48922.42</v>
      </c>
      <c r="C743">
        <v>39387.440000000002</v>
      </c>
      <c r="D743" s="1">
        <v>44123</v>
      </c>
      <c r="E743" t="s">
        <v>181</v>
      </c>
      <c r="F743" t="s">
        <v>300</v>
      </c>
      <c r="G743" t="s">
        <v>57</v>
      </c>
      <c r="H743" t="s">
        <v>58</v>
      </c>
      <c r="I743" t="s">
        <v>15</v>
      </c>
      <c r="J743" t="s">
        <v>902</v>
      </c>
    </row>
    <row r="744" spans="1:10" x14ac:dyDescent="0.3">
      <c r="A744" t="s">
        <v>151</v>
      </c>
      <c r="B744">
        <v>157007.51999999999</v>
      </c>
      <c r="C744">
        <v>126940.58</v>
      </c>
      <c r="D744" s="1">
        <v>43708</v>
      </c>
      <c r="E744" t="s">
        <v>76</v>
      </c>
      <c r="F744" t="s">
        <v>74</v>
      </c>
      <c r="G744" t="s">
        <v>152</v>
      </c>
      <c r="H744" t="s">
        <v>197</v>
      </c>
      <c r="I744" t="s">
        <v>27</v>
      </c>
      <c r="J744" t="s">
        <v>903</v>
      </c>
    </row>
    <row r="745" spans="1:10" x14ac:dyDescent="0.3">
      <c r="A745" t="s">
        <v>22</v>
      </c>
      <c r="B745">
        <v>40728.28</v>
      </c>
      <c r="C745">
        <v>35669.83</v>
      </c>
      <c r="D745" s="1">
        <v>43730</v>
      </c>
      <c r="E745" t="s">
        <v>76</v>
      </c>
      <c r="F745" t="s">
        <v>164</v>
      </c>
      <c r="G745" t="s">
        <v>25</v>
      </c>
      <c r="H745" t="s">
        <v>63</v>
      </c>
      <c r="I745" t="s">
        <v>32</v>
      </c>
      <c r="J745" t="s">
        <v>904</v>
      </c>
    </row>
    <row r="746" spans="1:10" x14ac:dyDescent="0.3">
      <c r="A746" t="s">
        <v>22</v>
      </c>
      <c r="B746">
        <v>152442.32</v>
      </c>
      <c r="C746">
        <v>122258.74</v>
      </c>
      <c r="D746" s="1">
        <v>43992</v>
      </c>
      <c r="E746" t="s">
        <v>29</v>
      </c>
      <c r="F746" t="s">
        <v>56</v>
      </c>
      <c r="G746" t="s">
        <v>25</v>
      </c>
      <c r="H746" t="s">
        <v>52</v>
      </c>
      <c r="I746" t="s">
        <v>27</v>
      </c>
      <c r="J746" t="s">
        <v>905</v>
      </c>
    </row>
    <row r="747" spans="1:10" x14ac:dyDescent="0.3">
      <c r="A747" t="s">
        <v>122</v>
      </c>
      <c r="B747">
        <v>158011.29999999999</v>
      </c>
      <c r="C747">
        <v>137390.82999999999</v>
      </c>
      <c r="D747" s="1">
        <v>43796</v>
      </c>
      <c r="E747" t="s">
        <v>76</v>
      </c>
      <c r="F747" t="s">
        <v>60</v>
      </c>
      <c r="G747" t="s">
        <v>123</v>
      </c>
      <c r="H747" t="s">
        <v>124</v>
      </c>
      <c r="I747" t="s">
        <v>27</v>
      </c>
      <c r="J747" t="s">
        <v>906</v>
      </c>
    </row>
    <row r="748" spans="1:10" x14ac:dyDescent="0.3">
      <c r="A748" t="s">
        <v>129</v>
      </c>
      <c r="B748">
        <v>65211.07</v>
      </c>
      <c r="C748">
        <v>56883.62</v>
      </c>
      <c r="D748" s="1">
        <v>44132</v>
      </c>
      <c r="E748" t="s">
        <v>11</v>
      </c>
      <c r="F748" t="s">
        <v>256</v>
      </c>
      <c r="G748" t="s">
        <v>130</v>
      </c>
      <c r="H748" t="s">
        <v>131</v>
      </c>
      <c r="I748" t="s">
        <v>27</v>
      </c>
      <c r="J748" t="s">
        <v>907</v>
      </c>
    </row>
    <row r="749" spans="1:10" x14ac:dyDescent="0.3">
      <c r="A749" t="s">
        <v>143</v>
      </c>
      <c r="B749">
        <v>42814.57</v>
      </c>
      <c r="C749">
        <v>35356.269999999997</v>
      </c>
      <c r="D749" s="1">
        <v>43467</v>
      </c>
      <c r="E749" t="s">
        <v>76</v>
      </c>
      <c r="F749" t="s">
        <v>89</v>
      </c>
      <c r="G749" t="s">
        <v>145</v>
      </c>
      <c r="H749" t="s">
        <v>146</v>
      </c>
      <c r="I749" t="s">
        <v>27</v>
      </c>
      <c r="J749" t="s">
        <v>908</v>
      </c>
    </row>
    <row r="750" spans="1:10" x14ac:dyDescent="0.3">
      <c r="A750" t="s">
        <v>39</v>
      </c>
      <c r="B750">
        <v>118409.59</v>
      </c>
      <c r="C750">
        <v>96030.18</v>
      </c>
      <c r="D750" s="1">
        <v>43992</v>
      </c>
      <c r="E750" t="s">
        <v>11</v>
      </c>
      <c r="F750" t="s">
        <v>144</v>
      </c>
      <c r="G750" t="s">
        <v>42</v>
      </c>
      <c r="H750" t="s">
        <v>43</v>
      </c>
      <c r="I750" t="s">
        <v>27</v>
      </c>
      <c r="J750" t="s">
        <v>909</v>
      </c>
    </row>
    <row r="751" spans="1:10" x14ac:dyDescent="0.3">
      <c r="A751" t="s">
        <v>10</v>
      </c>
      <c r="B751">
        <v>33617.03</v>
      </c>
      <c r="C751">
        <v>26614.6</v>
      </c>
      <c r="D751" s="1">
        <v>44016</v>
      </c>
      <c r="E751" t="s">
        <v>23</v>
      </c>
      <c r="F751" t="s">
        <v>97</v>
      </c>
      <c r="G751" t="s">
        <v>13</v>
      </c>
      <c r="H751" t="s">
        <v>72</v>
      </c>
      <c r="I751" t="s">
        <v>27</v>
      </c>
      <c r="J751" t="s">
        <v>910</v>
      </c>
    </row>
    <row r="752" spans="1:10" x14ac:dyDescent="0.3">
      <c r="A752" t="s">
        <v>129</v>
      </c>
      <c r="B752">
        <v>205582.75</v>
      </c>
      <c r="C752">
        <v>166748.17000000001</v>
      </c>
      <c r="D752" s="1">
        <v>44187</v>
      </c>
      <c r="E752" t="s">
        <v>76</v>
      </c>
      <c r="F752" t="s">
        <v>656</v>
      </c>
      <c r="G752" t="s">
        <v>130</v>
      </c>
      <c r="H752" t="s">
        <v>159</v>
      </c>
      <c r="I752" t="s">
        <v>27</v>
      </c>
      <c r="J752" t="s">
        <v>911</v>
      </c>
    </row>
    <row r="753" spans="1:10" x14ac:dyDescent="0.3">
      <c r="A753" t="s">
        <v>17</v>
      </c>
      <c r="B753">
        <v>80431.34</v>
      </c>
      <c r="C753">
        <v>69774.19</v>
      </c>
      <c r="D753" s="1">
        <v>43668</v>
      </c>
      <c r="E753" t="s">
        <v>76</v>
      </c>
      <c r="F753" t="s">
        <v>106</v>
      </c>
      <c r="G753" t="s">
        <v>19</v>
      </c>
      <c r="H753" t="s">
        <v>31</v>
      </c>
      <c r="I753" t="s">
        <v>27</v>
      </c>
      <c r="J753" t="s">
        <v>912</v>
      </c>
    </row>
    <row r="754" spans="1:10" x14ac:dyDescent="0.3">
      <c r="A754" t="s">
        <v>22</v>
      </c>
      <c r="B754">
        <v>75912.59</v>
      </c>
      <c r="C754">
        <v>60145.55</v>
      </c>
      <c r="D754" s="1">
        <v>43752</v>
      </c>
      <c r="E754" t="s">
        <v>181</v>
      </c>
      <c r="F754" t="s">
        <v>18</v>
      </c>
      <c r="G754" t="s">
        <v>25</v>
      </c>
      <c r="H754" t="s">
        <v>26</v>
      </c>
      <c r="I754" t="s">
        <v>32</v>
      </c>
      <c r="J754" t="s">
        <v>913</v>
      </c>
    </row>
    <row r="755" spans="1:10" x14ac:dyDescent="0.3">
      <c r="A755" t="s">
        <v>10</v>
      </c>
      <c r="B755">
        <v>145558</v>
      </c>
      <c r="C755">
        <v>116257.18</v>
      </c>
      <c r="D755" s="1">
        <v>43819</v>
      </c>
      <c r="E755" t="s">
        <v>40</v>
      </c>
      <c r="F755" t="s">
        <v>12</v>
      </c>
      <c r="G755" t="s">
        <v>13</v>
      </c>
      <c r="H755" t="s">
        <v>14</v>
      </c>
      <c r="I755" t="s">
        <v>15</v>
      </c>
      <c r="J755" t="s">
        <v>914</v>
      </c>
    </row>
    <row r="756" spans="1:10" x14ac:dyDescent="0.3">
      <c r="A756" t="s">
        <v>22</v>
      </c>
      <c r="B756">
        <v>59670.68</v>
      </c>
      <c r="C756">
        <v>51269.05</v>
      </c>
      <c r="D756" s="1">
        <v>43747</v>
      </c>
      <c r="E756" t="s">
        <v>23</v>
      </c>
      <c r="F756" t="s">
        <v>86</v>
      </c>
      <c r="G756" t="s">
        <v>25</v>
      </c>
      <c r="H756" t="s">
        <v>52</v>
      </c>
      <c r="I756" t="s">
        <v>27</v>
      </c>
      <c r="J756" t="s">
        <v>915</v>
      </c>
    </row>
    <row r="757" spans="1:10" x14ac:dyDescent="0.3">
      <c r="A757" t="s">
        <v>22</v>
      </c>
      <c r="B757">
        <v>89830.34</v>
      </c>
      <c r="C757">
        <v>76795.960000000006</v>
      </c>
      <c r="D757" s="1">
        <v>43574</v>
      </c>
      <c r="E757" t="s">
        <v>11</v>
      </c>
      <c r="F757" t="s">
        <v>56</v>
      </c>
      <c r="G757" t="s">
        <v>25</v>
      </c>
      <c r="H757" t="s">
        <v>52</v>
      </c>
      <c r="I757" t="s">
        <v>15</v>
      </c>
      <c r="J757" t="s">
        <v>916</v>
      </c>
    </row>
    <row r="758" spans="1:10" x14ac:dyDescent="0.3">
      <c r="A758" t="s">
        <v>10</v>
      </c>
      <c r="B758">
        <v>103638.67</v>
      </c>
      <c r="C758">
        <v>84030.23</v>
      </c>
      <c r="D758" s="1">
        <v>44126</v>
      </c>
      <c r="E758" t="s">
        <v>29</v>
      </c>
      <c r="F758" t="s">
        <v>227</v>
      </c>
      <c r="G758" t="s">
        <v>13</v>
      </c>
      <c r="H758" t="s">
        <v>81</v>
      </c>
      <c r="I758" t="s">
        <v>27</v>
      </c>
      <c r="J758" t="s">
        <v>917</v>
      </c>
    </row>
    <row r="759" spans="1:10" x14ac:dyDescent="0.3">
      <c r="A759" t="s">
        <v>22</v>
      </c>
      <c r="B759">
        <v>123424.43</v>
      </c>
      <c r="C759">
        <v>98171.79</v>
      </c>
      <c r="D759" s="1">
        <v>43773</v>
      </c>
      <c r="E759" t="s">
        <v>40</v>
      </c>
      <c r="F759" t="s">
        <v>102</v>
      </c>
      <c r="G759" t="s">
        <v>25</v>
      </c>
      <c r="H759" t="s">
        <v>26</v>
      </c>
      <c r="I759" t="s">
        <v>27</v>
      </c>
      <c r="J759" t="s">
        <v>918</v>
      </c>
    </row>
    <row r="760" spans="1:10" x14ac:dyDescent="0.3">
      <c r="A760" t="s">
        <v>17</v>
      </c>
      <c r="B760">
        <v>86050.61</v>
      </c>
      <c r="C760">
        <v>75569.649999999994</v>
      </c>
      <c r="D760" s="1">
        <v>43899</v>
      </c>
      <c r="E760" t="s">
        <v>40</v>
      </c>
      <c r="F760" t="s">
        <v>367</v>
      </c>
      <c r="G760" t="s">
        <v>19</v>
      </c>
      <c r="H760" t="s">
        <v>31</v>
      </c>
      <c r="I760" t="s">
        <v>27</v>
      </c>
      <c r="J760" t="s">
        <v>919</v>
      </c>
    </row>
    <row r="761" spans="1:10" x14ac:dyDescent="0.3">
      <c r="A761" t="s">
        <v>17</v>
      </c>
      <c r="B761">
        <v>119156.18</v>
      </c>
      <c r="C761">
        <v>100710.8</v>
      </c>
      <c r="D761" s="1">
        <v>43697</v>
      </c>
      <c r="E761" t="s">
        <v>76</v>
      </c>
      <c r="F761" t="s">
        <v>56</v>
      </c>
      <c r="G761" t="s">
        <v>19</v>
      </c>
      <c r="H761" t="s">
        <v>157</v>
      </c>
      <c r="I761" t="s">
        <v>27</v>
      </c>
      <c r="J761" t="s">
        <v>920</v>
      </c>
    </row>
    <row r="762" spans="1:10" x14ac:dyDescent="0.3">
      <c r="A762" t="s">
        <v>216</v>
      </c>
      <c r="B762">
        <v>99731.4</v>
      </c>
      <c r="C762">
        <v>84731.8</v>
      </c>
      <c r="D762" s="1">
        <v>44166</v>
      </c>
      <c r="E762" t="s">
        <v>29</v>
      </c>
      <c r="F762" t="s">
        <v>195</v>
      </c>
      <c r="G762" t="s">
        <v>217</v>
      </c>
      <c r="H762" t="s">
        <v>218</v>
      </c>
      <c r="I762" t="s">
        <v>27</v>
      </c>
      <c r="J762" t="s">
        <v>921</v>
      </c>
    </row>
    <row r="763" spans="1:10" x14ac:dyDescent="0.3">
      <c r="A763" t="s">
        <v>22</v>
      </c>
      <c r="B763">
        <v>101321.52</v>
      </c>
      <c r="C763">
        <v>86710.96</v>
      </c>
      <c r="D763" s="1">
        <v>43513</v>
      </c>
      <c r="E763" t="s">
        <v>11</v>
      </c>
      <c r="F763" t="s">
        <v>174</v>
      </c>
      <c r="G763" t="s">
        <v>25</v>
      </c>
      <c r="H763" t="s">
        <v>87</v>
      </c>
      <c r="I763" t="s">
        <v>27</v>
      </c>
      <c r="J763" t="s">
        <v>922</v>
      </c>
    </row>
    <row r="764" spans="1:10" x14ac:dyDescent="0.3">
      <c r="A764" t="s">
        <v>22</v>
      </c>
      <c r="B764">
        <v>53485</v>
      </c>
      <c r="C764">
        <v>46713.8</v>
      </c>
      <c r="D764" s="1">
        <v>43879</v>
      </c>
      <c r="E764" t="s">
        <v>40</v>
      </c>
      <c r="F764" t="s">
        <v>56</v>
      </c>
      <c r="G764" t="s">
        <v>25</v>
      </c>
      <c r="H764" t="s">
        <v>26</v>
      </c>
      <c r="I764" t="s">
        <v>27</v>
      </c>
      <c r="J764" t="s">
        <v>923</v>
      </c>
    </row>
    <row r="765" spans="1:10" x14ac:dyDescent="0.3">
      <c r="A765" t="s">
        <v>129</v>
      </c>
      <c r="B765">
        <v>200635.57</v>
      </c>
      <c r="C765">
        <v>172245.64</v>
      </c>
      <c r="D765" s="1">
        <v>43781</v>
      </c>
      <c r="E765" t="s">
        <v>40</v>
      </c>
      <c r="F765" t="s">
        <v>244</v>
      </c>
      <c r="G765" t="s">
        <v>130</v>
      </c>
      <c r="H765" t="s">
        <v>159</v>
      </c>
      <c r="I765" t="s">
        <v>27</v>
      </c>
      <c r="J765" t="s">
        <v>924</v>
      </c>
    </row>
    <row r="766" spans="1:10" x14ac:dyDescent="0.3">
      <c r="A766" t="s">
        <v>34</v>
      </c>
      <c r="B766">
        <v>242526</v>
      </c>
      <c r="C766">
        <v>212113.24</v>
      </c>
      <c r="D766" s="1">
        <v>43530</v>
      </c>
      <c r="E766" t="s">
        <v>40</v>
      </c>
      <c r="F766" t="s">
        <v>24</v>
      </c>
      <c r="G766" t="s">
        <v>36</v>
      </c>
      <c r="H766" t="s">
        <v>104</v>
      </c>
      <c r="I766" t="s">
        <v>27</v>
      </c>
      <c r="J766" t="s">
        <v>925</v>
      </c>
    </row>
    <row r="767" spans="1:10" x14ac:dyDescent="0.3">
      <c r="A767" t="s">
        <v>10</v>
      </c>
      <c r="B767">
        <v>57913.36</v>
      </c>
      <c r="C767">
        <v>48693.55</v>
      </c>
      <c r="D767" s="1">
        <v>43778</v>
      </c>
      <c r="E767" t="s">
        <v>11</v>
      </c>
      <c r="F767" t="s">
        <v>300</v>
      </c>
      <c r="G767" t="s">
        <v>13</v>
      </c>
      <c r="H767" t="s">
        <v>46</v>
      </c>
      <c r="I767" t="s">
        <v>27</v>
      </c>
      <c r="J767" t="s">
        <v>926</v>
      </c>
    </row>
    <row r="768" spans="1:10" x14ac:dyDescent="0.3">
      <c r="A768" t="s">
        <v>10</v>
      </c>
      <c r="B768">
        <v>325331.99</v>
      </c>
      <c r="C768">
        <v>264592.51</v>
      </c>
      <c r="D768" s="1">
        <v>43822</v>
      </c>
      <c r="E768" t="s">
        <v>11</v>
      </c>
      <c r="F768" t="s">
        <v>97</v>
      </c>
      <c r="G768" t="s">
        <v>13</v>
      </c>
      <c r="H768" t="s">
        <v>110</v>
      </c>
      <c r="I768" t="s">
        <v>32</v>
      </c>
      <c r="J768" t="s">
        <v>927</v>
      </c>
    </row>
    <row r="769" spans="1:10" x14ac:dyDescent="0.3">
      <c r="A769" t="s">
        <v>17</v>
      </c>
      <c r="B769">
        <v>40148.49</v>
      </c>
      <c r="C769">
        <v>31954.18</v>
      </c>
      <c r="D769" s="1">
        <v>43498</v>
      </c>
      <c r="E769" t="s">
        <v>29</v>
      </c>
      <c r="F769" t="s">
        <v>434</v>
      </c>
      <c r="G769" t="s">
        <v>19</v>
      </c>
      <c r="H769" t="s">
        <v>20</v>
      </c>
      <c r="I769" t="s">
        <v>27</v>
      </c>
      <c r="J769" t="s">
        <v>928</v>
      </c>
    </row>
    <row r="770" spans="1:10" x14ac:dyDescent="0.3">
      <c r="A770" t="s">
        <v>34</v>
      </c>
      <c r="B770">
        <v>59043.39</v>
      </c>
      <c r="C770">
        <v>48876.12</v>
      </c>
      <c r="D770" s="1">
        <v>44131</v>
      </c>
      <c r="E770" t="s">
        <v>51</v>
      </c>
      <c r="F770" t="s">
        <v>300</v>
      </c>
      <c r="G770" t="s">
        <v>36</v>
      </c>
      <c r="H770" t="s">
        <v>37</v>
      </c>
      <c r="I770" t="s">
        <v>27</v>
      </c>
      <c r="J770" t="s">
        <v>929</v>
      </c>
    </row>
    <row r="771" spans="1:10" x14ac:dyDescent="0.3">
      <c r="A771" t="s">
        <v>10</v>
      </c>
      <c r="B771">
        <v>72757.009999999995</v>
      </c>
      <c r="C771">
        <v>63378.63</v>
      </c>
      <c r="D771" s="1">
        <v>43954</v>
      </c>
      <c r="E771" t="s">
        <v>99</v>
      </c>
      <c r="F771" t="s">
        <v>106</v>
      </c>
      <c r="G771" t="s">
        <v>13</v>
      </c>
      <c r="H771" t="s">
        <v>46</v>
      </c>
      <c r="I771" t="s">
        <v>27</v>
      </c>
      <c r="J771" t="s">
        <v>930</v>
      </c>
    </row>
    <row r="772" spans="1:10" x14ac:dyDescent="0.3">
      <c r="A772" t="s">
        <v>34</v>
      </c>
      <c r="B772">
        <v>74295.81</v>
      </c>
      <c r="C772">
        <v>63716.09</v>
      </c>
      <c r="D772" s="1">
        <v>43773</v>
      </c>
      <c r="E772" t="s">
        <v>11</v>
      </c>
      <c r="F772" t="s">
        <v>214</v>
      </c>
      <c r="G772" t="s">
        <v>36</v>
      </c>
      <c r="H772" t="s">
        <v>37</v>
      </c>
      <c r="I772" t="s">
        <v>27</v>
      </c>
      <c r="J772" t="s">
        <v>931</v>
      </c>
    </row>
    <row r="773" spans="1:10" x14ac:dyDescent="0.3">
      <c r="A773" t="s">
        <v>66</v>
      </c>
      <c r="B773">
        <v>172397.66</v>
      </c>
      <c r="C773">
        <v>139986.9</v>
      </c>
      <c r="D773" s="1">
        <v>43492</v>
      </c>
      <c r="E773" t="s">
        <v>40</v>
      </c>
      <c r="F773" t="s">
        <v>56</v>
      </c>
      <c r="G773" t="s">
        <v>68</v>
      </c>
      <c r="H773" t="s">
        <v>69</v>
      </c>
      <c r="I773" t="s">
        <v>27</v>
      </c>
      <c r="J773" t="s">
        <v>932</v>
      </c>
    </row>
    <row r="774" spans="1:10" x14ac:dyDescent="0.3">
      <c r="A774" t="s">
        <v>22</v>
      </c>
      <c r="B774">
        <v>137562.42000000001</v>
      </c>
      <c r="C774">
        <v>112140.88</v>
      </c>
      <c r="D774" s="1">
        <v>43935</v>
      </c>
      <c r="E774" t="s">
        <v>40</v>
      </c>
      <c r="F774" t="s">
        <v>174</v>
      </c>
      <c r="G774" t="s">
        <v>25</v>
      </c>
      <c r="H774" t="s">
        <v>63</v>
      </c>
      <c r="I774" t="s">
        <v>27</v>
      </c>
      <c r="J774" t="s">
        <v>933</v>
      </c>
    </row>
    <row r="775" spans="1:10" x14ac:dyDescent="0.3">
      <c r="A775" t="s">
        <v>17</v>
      </c>
      <c r="B775">
        <v>109562.5</v>
      </c>
      <c r="C775">
        <v>89917.94</v>
      </c>
      <c r="D775" s="1">
        <v>43959</v>
      </c>
      <c r="E775" t="s">
        <v>23</v>
      </c>
      <c r="F775" t="s">
        <v>92</v>
      </c>
      <c r="G775" t="s">
        <v>19</v>
      </c>
      <c r="H775" t="s">
        <v>78</v>
      </c>
      <c r="I775" t="s">
        <v>27</v>
      </c>
      <c r="J775" t="s">
        <v>934</v>
      </c>
    </row>
    <row r="776" spans="1:10" x14ac:dyDescent="0.3">
      <c r="A776" t="s">
        <v>34</v>
      </c>
      <c r="B776">
        <v>73727.91</v>
      </c>
      <c r="C776">
        <v>64047.44</v>
      </c>
      <c r="D776" s="1">
        <v>44145</v>
      </c>
      <c r="E776" t="s">
        <v>91</v>
      </c>
      <c r="F776" t="s">
        <v>164</v>
      </c>
      <c r="G776" t="s">
        <v>36</v>
      </c>
      <c r="H776" t="s">
        <v>104</v>
      </c>
      <c r="I776" t="s">
        <v>27</v>
      </c>
      <c r="J776" t="s">
        <v>935</v>
      </c>
    </row>
    <row r="777" spans="1:10" x14ac:dyDescent="0.3">
      <c r="A777" t="s">
        <v>247</v>
      </c>
      <c r="B777">
        <v>152370.57</v>
      </c>
      <c r="C777">
        <v>128478.86</v>
      </c>
      <c r="D777" s="1">
        <v>43789</v>
      </c>
      <c r="E777" t="s">
        <v>11</v>
      </c>
      <c r="F777" t="s">
        <v>135</v>
      </c>
      <c r="G777" t="s">
        <v>248</v>
      </c>
      <c r="H777" t="s">
        <v>249</v>
      </c>
      <c r="I777" t="s">
        <v>27</v>
      </c>
      <c r="J777" t="s">
        <v>936</v>
      </c>
    </row>
    <row r="778" spans="1:10" x14ac:dyDescent="0.3">
      <c r="A778" t="s">
        <v>17</v>
      </c>
      <c r="B778">
        <v>174392.33</v>
      </c>
      <c r="C778">
        <v>141449.62</v>
      </c>
      <c r="D778" s="1">
        <v>43898</v>
      </c>
      <c r="E778" t="s">
        <v>51</v>
      </c>
      <c r="F778" t="s">
        <v>41</v>
      </c>
      <c r="G778" t="s">
        <v>19</v>
      </c>
      <c r="H778" t="s">
        <v>157</v>
      </c>
      <c r="I778" t="s">
        <v>27</v>
      </c>
      <c r="J778" t="s">
        <v>937</v>
      </c>
    </row>
    <row r="779" spans="1:10" x14ac:dyDescent="0.3">
      <c r="A779" t="s">
        <v>151</v>
      </c>
      <c r="B779">
        <v>271465.15000000002</v>
      </c>
      <c r="C779">
        <v>217959.37</v>
      </c>
      <c r="D779" s="1">
        <v>43531</v>
      </c>
      <c r="E779" t="s">
        <v>29</v>
      </c>
      <c r="F779" t="s">
        <v>229</v>
      </c>
      <c r="G779" t="s">
        <v>152</v>
      </c>
      <c r="H779" t="s">
        <v>197</v>
      </c>
      <c r="I779" t="s">
        <v>32</v>
      </c>
      <c r="J779" t="s">
        <v>938</v>
      </c>
    </row>
    <row r="780" spans="1:10" x14ac:dyDescent="0.3">
      <c r="A780" t="s">
        <v>17</v>
      </c>
      <c r="B780">
        <v>111557.68</v>
      </c>
      <c r="C780">
        <v>92470.16</v>
      </c>
      <c r="D780" s="1">
        <v>43876</v>
      </c>
      <c r="E780" t="s">
        <v>91</v>
      </c>
      <c r="F780" t="s">
        <v>106</v>
      </c>
      <c r="G780" t="s">
        <v>19</v>
      </c>
      <c r="H780" t="s">
        <v>31</v>
      </c>
      <c r="I780" t="s">
        <v>27</v>
      </c>
      <c r="J780" t="s">
        <v>939</v>
      </c>
    </row>
    <row r="781" spans="1:10" x14ac:dyDescent="0.3">
      <c r="A781" t="s">
        <v>22</v>
      </c>
      <c r="B781">
        <v>87513.27</v>
      </c>
      <c r="C781">
        <v>72469.740000000005</v>
      </c>
      <c r="D781" s="1">
        <v>43954</v>
      </c>
      <c r="E781" t="s">
        <v>91</v>
      </c>
      <c r="F781" t="s">
        <v>312</v>
      </c>
      <c r="G781" t="s">
        <v>25</v>
      </c>
      <c r="H781" t="s">
        <v>26</v>
      </c>
      <c r="I781" t="s">
        <v>32</v>
      </c>
      <c r="J781" t="s">
        <v>940</v>
      </c>
    </row>
    <row r="782" spans="1:10" x14ac:dyDescent="0.3">
      <c r="A782" t="s">
        <v>17</v>
      </c>
      <c r="B782">
        <v>107586.21</v>
      </c>
      <c r="C782">
        <v>94525.24</v>
      </c>
      <c r="D782" s="1">
        <v>44018</v>
      </c>
      <c r="E782" t="s">
        <v>29</v>
      </c>
      <c r="F782" t="s">
        <v>102</v>
      </c>
      <c r="G782" t="s">
        <v>19</v>
      </c>
      <c r="H782" t="s">
        <v>20</v>
      </c>
      <c r="I782" t="s">
        <v>27</v>
      </c>
      <c r="J782" t="s">
        <v>941</v>
      </c>
    </row>
    <row r="783" spans="1:10" x14ac:dyDescent="0.3">
      <c r="A783" t="s">
        <v>17</v>
      </c>
      <c r="B783">
        <v>34771.79</v>
      </c>
      <c r="C783">
        <v>28509.39</v>
      </c>
      <c r="D783" s="1">
        <v>43909</v>
      </c>
      <c r="E783" t="s">
        <v>51</v>
      </c>
      <c r="F783" t="s">
        <v>149</v>
      </c>
      <c r="G783" t="s">
        <v>19</v>
      </c>
      <c r="H783" t="s">
        <v>78</v>
      </c>
      <c r="I783" t="s">
        <v>27</v>
      </c>
      <c r="J783" t="s">
        <v>942</v>
      </c>
    </row>
    <row r="784" spans="1:10" x14ac:dyDescent="0.3">
      <c r="A784" t="s">
        <v>10</v>
      </c>
      <c r="B784">
        <v>168530.22</v>
      </c>
      <c r="C784">
        <v>136981.35999999999</v>
      </c>
      <c r="D784" s="1">
        <v>43967</v>
      </c>
      <c r="E784" t="s">
        <v>23</v>
      </c>
      <c r="F784" t="s">
        <v>236</v>
      </c>
      <c r="G784" t="s">
        <v>13</v>
      </c>
      <c r="H784" t="s">
        <v>14</v>
      </c>
      <c r="I784" t="s">
        <v>27</v>
      </c>
      <c r="J784" t="s">
        <v>943</v>
      </c>
    </row>
    <row r="785" spans="1:10" x14ac:dyDescent="0.3">
      <c r="A785" t="s">
        <v>34</v>
      </c>
      <c r="B785">
        <v>166380.74</v>
      </c>
      <c r="C785">
        <v>146049.01</v>
      </c>
      <c r="D785" s="1">
        <v>44005</v>
      </c>
      <c r="E785" t="s">
        <v>51</v>
      </c>
      <c r="F785" t="s">
        <v>41</v>
      </c>
      <c r="G785" t="s">
        <v>36</v>
      </c>
      <c r="H785" t="s">
        <v>37</v>
      </c>
      <c r="I785" t="s">
        <v>27</v>
      </c>
      <c r="J785" t="s">
        <v>944</v>
      </c>
    </row>
    <row r="786" spans="1:10" x14ac:dyDescent="0.3">
      <c r="A786" t="s">
        <v>22</v>
      </c>
      <c r="B786">
        <v>170408.23</v>
      </c>
      <c r="C786">
        <v>143432.60999999999</v>
      </c>
      <c r="D786" s="1">
        <v>43901</v>
      </c>
      <c r="E786" t="s">
        <v>40</v>
      </c>
      <c r="F786" t="s">
        <v>164</v>
      </c>
      <c r="G786" t="s">
        <v>25</v>
      </c>
      <c r="H786" t="s">
        <v>52</v>
      </c>
      <c r="I786" t="s">
        <v>32</v>
      </c>
      <c r="J786" t="s">
        <v>945</v>
      </c>
    </row>
    <row r="787" spans="1:10" x14ac:dyDescent="0.3">
      <c r="A787" t="s">
        <v>34</v>
      </c>
      <c r="B787">
        <v>92179.76</v>
      </c>
      <c r="C787">
        <v>74794.66</v>
      </c>
      <c r="D787" s="1">
        <v>44037</v>
      </c>
      <c r="E787" t="s">
        <v>76</v>
      </c>
      <c r="F787" t="s">
        <v>92</v>
      </c>
      <c r="G787" t="s">
        <v>36</v>
      </c>
      <c r="H787" t="s">
        <v>93</v>
      </c>
      <c r="I787" t="s">
        <v>15</v>
      </c>
      <c r="J787" t="s">
        <v>946</v>
      </c>
    </row>
    <row r="788" spans="1:10" x14ac:dyDescent="0.3">
      <c r="A788" t="s">
        <v>10</v>
      </c>
      <c r="B788">
        <v>204484.61</v>
      </c>
      <c r="C788">
        <v>177308.61</v>
      </c>
      <c r="D788" s="1">
        <v>43632</v>
      </c>
      <c r="E788" t="s">
        <v>11</v>
      </c>
      <c r="F788" t="s">
        <v>285</v>
      </c>
      <c r="G788" t="s">
        <v>13</v>
      </c>
      <c r="H788" t="s">
        <v>110</v>
      </c>
      <c r="I788" t="s">
        <v>15</v>
      </c>
      <c r="J788" t="s">
        <v>947</v>
      </c>
    </row>
    <row r="789" spans="1:10" x14ac:dyDescent="0.3">
      <c r="A789" t="s">
        <v>129</v>
      </c>
      <c r="B789">
        <v>27824.83</v>
      </c>
      <c r="C789">
        <v>23517.55</v>
      </c>
      <c r="D789" s="1">
        <v>43625</v>
      </c>
      <c r="E789" t="s">
        <v>11</v>
      </c>
      <c r="F789" t="s">
        <v>367</v>
      </c>
      <c r="G789" t="s">
        <v>130</v>
      </c>
      <c r="H789" t="s">
        <v>159</v>
      </c>
      <c r="I789" t="s">
        <v>27</v>
      </c>
      <c r="J789" t="s">
        <v>948</v>
      </c>
    </row>
    <row r="790" spans="1:10" x14ac:dyDescent="0.3">
      <c r="A790" t="s">
        <v>22</v>
      </c>
      <c r="B790">
        <v>194326.7</v>
      </c>
      <c r="C790">
        <v>169005.93</v>
      </c>
      <c r="D790" s="1">
        <v>43653</v>
      </c>
      <c r="E790" t="s">
        <v>91</v>
      </c>
      <c r="F790" t="s">
        <v>56</v>
      </c>
      <c r="G790" t="s">
        <v>25</v>
      </c>
      <c r="H790" t="s">
        <v>63</v>
      </c>
      <c r="I790" t="s">
        <v>32</v>
      </c>
      <c r="J790" t="s">
        <v>949</v>
      </c>
    </row>
    <row r="791" spans="1:10" x14ac:dyDescent="0.3">
      <c r="A791" t="s">
        <v>22</v>
      </c>
      <c r="B791">
        <v>59691.71</v>
      </c>
      <c r="C791">
        <v>49239.69</v>
      </c>
      <c r="D791" s="1">
        <v>43633</v>
      </c>
      <c r="E791" t="s">
        <v>99</v>
      </c>
      <c r="F791" t="s">
        <v>373</v>
      </c>
      <c r="G791" t="s">
        <v>25</v>
      </c>
      <c r="H791" t="s">
        <v>63</v>
      </c>
      <c r="I791" t="s">
        <v>27</v>
      </c>
      <c r="J791" t="s">
        <v>950</v>
      </c>
    </row>
    <row r="792" spans="1:10" x14ac:dyDescent="0.3">
      <c r="A792" t="s">
        <v>34</v>
      </c>
      <c r="B792">
        <v>256388.08</v>
      </c>
      <c r="C792">
        <v>212058.58</v>
      </c>
      <c r="D792" s="1">
        <v>43597</v>
      </c>
      <c r="E792" t="s">
        <v>23</v>
      </c>
      <c r="F792" t="s">
        <v>656</v>
      </c>
      <c r="G792" t="s">
        <v>36</v>
      </c>
      <c r="H792" t="s">
        <v>93</v>
      </c>
      <c r="I792" t="s">
        <v>32</v>
      </c>
      <c r="J792" t="s">
        <v>951</v>
      </c>
    </row>
    <row r="793" spans="1:10" x14ac:dyDescent="0.3">
      <c r="A793" t="s">
        <v>22</v>
      </c>
      <c r="B793">
        <v>84598.68</v>
      </c>
      <c r="C793">
        <v>72391.09</v>
      </c>
      <c r="D793" s="1">
        <v>43949</v>
      </c>
      <c r="E793" t="s">
        <v>40</v>
      </c>
      <c r="F793" t="s">
        <v>71</v>
      </c>
      <c r="G793" t="s">
        <v>25</v>
      </c>
      <c r="H793" t="s">
        <v>87</v>
      </c>
      <c r="I793" t="s">
        <v>27</v>
      </c>
      <c r="J793" t="s">
        <v>952</v>
      </c>
    </row>
    <row r="794" spans="1:10" x14ac:dyDescent="0.3">
      <c r="A794" t="s">
        <v>17</v>
      </c>
      <c r="B794">
        <v>116206.87</v>
      </c>
      <c r="C794">
        <v>93104.94</v>
      </c>
      <c r="D794" s="1">
        <v>43570</v>
      </c>
      <c r="E794" t="s">
        <v>11</v>
      </c>
      <c r="F794" t="s">
        <v>214</v>
      </c>
      <c r="G794" t="s">
        <v>19</v>
      </c>
      <c r="H794" t="s">
        <v>20</v>
      </c>
      <c r="I794" t="s">
        <v>27</v>
      </c>
      <c r="J794" t="s">
        <v>953</v>
      </c>
    </row>
    <row r="795" spans="1:10" x14ac:dyDescent="0.3">
      <c r="A795" t="s">
        <v>22</v>
      </c>
      <c r="B795">
        <v>74231.25</v>
      </c>
      <c r="C795">
        <v>61604.51</v>
      </c>
      <c r="D795" s="1">
        <v>43780</v>
      </c>
      <c r="E795" t="s">
        <v>76</v>
      </c>
      <c r="F795" t="s">
        <v>335</v>
      </c>
      <c r="G795" t="s">
        <v>25</v>
      </c>
      <c r="H795" t="s">
        <v>87</v>
      </c>
      <c r="I795" t="s">
        <v>32</v>
      </c>
      <c r="J795" t="s">
        <v>954</v>
      </c>
    </row>
    <row r="796" spans="1:10" x14ac:dyDescent="0.3">
      <c r="A796" t="s">
        <v>122</v>
      </c>
      <c r="B796">
        <v>80328.160000000003</v>
      </c>
      <c r="C796">
        <v>65836.960000000006</v>
      </c>
      <c r="D796" s="1">
        <v>44097</v>
      </c>
      <c r="E796" t="s">
        <v>11</v>
      </c>
      <c r="F796" t="s">
        <v>285</v>
      </c>
      <c r="G796" t="s">
        <v>123</v>
      </c>
      <c r="H796" t="s">
        <v>124</v>
      </c>
      <c r="I796" t="s">
        <v>27</v>
      </c>
      <c r="J796" t="s">
        <v>955</v>
      </c>
    </row>
    <row r="797" spans="1:10" x14ac:dyDescent="0.3">
      <c r="A797" t="s">
        <v>17</v>
      </c>
      <c r="B797">
        <v>32661.62</v>
      </c>
      <c r="C797">
        <v>27922.42</v>
      </c>
      <c r="D797" s="1">
        <v>44045</v>
      </c>
      <c r="E797" t="s">
        <v>29</v>
      </c>
      <c r="F797" t="s">
        <v>109</v>
      </c>
      <c r="G797" t="s">
        <v>19</v>
      </c>
      <c r="H797" t="s">
        <v>20</v>
      </c>
      <c r="I797" t="s">
        <v>27</v>
      </c>
      <c r="J797" t="s">
        <v>956</v>
      </c>
    </row>
    <row r="798" spans="1:10" x14ac:dyDescent="0.3">
      <c r="A798" t="s">
        <v>17</v>
      </c>
      <c r="B798">
        <v>85223.07</v>
      </c>
      <c r="C798">
        <v>73002.080000000002</v>
      </c>
      <c r="D798" s="1">
        <v>43723</v>
      </c>
      <c r="E798" t="s">
        <v>76</v>
      </c>
      <c r="F798" t="s">
        <v>71</v>
      </c>
      <c r="G798" t="s">
        <v>19</v>
      </c>
      <c r="H798" t="s">
        <v>78</v>
      </c>
      <c r="I798" t="s">
        <v>27</v>
      </c>
      <c r="J798" t="s">
        <v>957</v>
      </c>
    </row>
    <row r="799" spans="1:10" x14ac:dyDescent="0.3">
      <c r="A799" t="s">
        <v>10</v>
      </c>
      <c r="B799">
        <v>39457.339999999997</v>
      </c>
      <c r="C799">
        <v>32793</v>
      </c>
      <c r="D799" s="1">
        <v>44124</v>
      </c>
      <c r="E799" t="s">
        <v>76</v>
      </c>
      <c r="F799" t="s">
        <v>113</v>
      </c>
      <c r="G799" t="s">
        <v>13</v>
      </c>
      <c r="H799" t="s">
        <v>81</v>
      </c>
      <c r="I799" t="s">
        <v>27</v>
      </c>
      <c r="J799" t="s">
        <v>958</v>
      </c>
    </row>
    <row r="800" spans="1:10" x14ac:dyDescent="0.3">
      <c r="A800" t="s">
        <v>22</v>
      </c>
      <c r="B800">
        <v>87085.71</v>
      </c>
      <c r="C800">
        <v>76548.34</v>
      </c>
      <c r="D800" s="1">
        <v>44070</v>
      </c>
      <c r="E800" t="s">
        <v>181</v>
      </c>
      <c r="F800" t="s">
        <v>236</v>
      </c>
      <c r="G800" t="s">
        <v>25</v>
      </c>
      <c r="H800" t="s">
        <v>167</v>
      </c>
      <c r="I800" t="s">
        <v>27</v>
      </c>
      <c r="J800" t="s">
        <v>959</v>
      </c>
    </row>
    <row r="801" spans="1:10" x14ac:dyDescent="0.3">
      <c r="A801" t="s">
        <v>151</v>
      </c>
      <c r="B801">
        <v>130242.41</v>
      </c>
      <c r="C801">
        <v>113050.41</v>
      </c>
      <c r="D801" s="1">
        <v>44195</v>
      </c>
      <c r="E801" t="s">
        <v>51</v>
      </c>
      <c r="F801" t="s">
        <v>56</v>
      </c>
      <c r="G801" t="s">
        <v>152</v>
      </c>
      <c r="H801" t="s">
        <v>153</v>
      </c>
      <c r="I801" t="s">
        <v>27</v>
      </c>
      <c r="J801" t="s">
        <v>960</v>
      </c>
    </row>
    <row r="802" spans="1:10" x14ac:dyDescent="0.3">
      <c r="A802" t="s">
        <v>22</v>
      </c>
      <c r="B802">
        <v>74790.02</v>
      </c>
      <c r="C802">
        <v>64992.53</v>
      </c>
      <c r="D802" s="1">
        <v>44001</v>
      </c>
      <c r="E802" t="s">
        <v>76</v>
      </c>
      <c r="F802" t="s">
        <v>229</v>
      </c>
      <c r="G802" t="s">
        <v>25</v>
      </c>
      <c r="H802" t="s">
        <v>26</v>
      </c>
      <c r="I802" t="s">
        <v>27</v>
      </c>
      <c r="J802" t="s">
        <v>961</v>
      </c>
    </row>
    <row r="803" spans="1:10" x14ac:dyDescent="0.3">
      <c r="A803" t="s">
        <v>22</v>
      </c>
      <c r="B803">
        <v>79874.42</v>
      </c>
      <c r="C803">
        <v>68132.88</v>
      </c>
      <c r="D803" s="1">
        <v>44149</v>
      </c>
      <c r="E803" t="s">
        <v>181</v>
      </c>
      <c r="F803" t="s">
        <v>400</v>
      </c>
      <c r="G803" t="s">
        <v>25</v>
      </c>
      <c r="H803" t="s">
        <v>167</v>
      </c>
      <c r="I803" t="s">
        <v>27</v>
      </c>
      <c r="J803" t="s">
        <v>962</v>
      </c>
    </row>
    <row r="804" spans="1:10" x14ac:dyDescent="0.3">
      <c r="A804" t="s">
        <v>17</v>
      </c>
      <c r="B804">
        <v>19814.86</v>
      </c>
      <c r="C804">
        <v>16787.150000000001</v>
      </c>
      <c r="D804" s="1">
        <v>43910</v>
      </c>
      <c r="E804" t="s">
        <v>23</v>
      </c>
      <c r="F804" t="s">
        <v>300</v>
      </c>
      <c r="G804" t="s">
        <v>19</v>
      </c>
      <c r="H804" t="s">
        <v>49</v>
      </c>
      <c r="I804" t="s">
        <v>27</v>
      </c>
      <c r="J804" t="s">
        <v>963</v>
      </c>
    </row>
    <row r="805" spans="1:10" x14ac:dyDescent="0.3">
      <c r="A805" t="s">
        <v>34</v>
      </c>
      <c r="B805">
        <v>203958.16</v>
      </c>
      <c r="C805">
        <v>176444.2</v>
      </c>
      <c r="D805" s="1">
        <v>43873</v>
      </c>
      <c r="E805" t="s">
        <v>23</v>
      </c>
      <c r="F805" t="s">
        <v>244</v>
      </c>
      <c r="G805" t="s">
        <v>36</v>
      </c>
      <c r="H805" t="s">
        <v>37</v>
      </c>
      <c r="I805" t="s">
        <v>27</v>
      </c>
      <c r="J805" t="s">
        <v>964</v>
      </c>
    </row>
    <row r="806" spans="1:10" x14ac:dyDescent="0.3">
      <c r="A806" t="s">
        <v>169</v>
      </c>
      <c r="B806">
        <v>65822.05</v>
      </c>
      <c r="C806">
        <v>54790.27</v>
      </c>
      <c r="D806" s="1">
        <v>44146</v>
      </c>
      <c r="E806" t="s">
        <v>40</v>
      </c>
      <c r="F806" t="s">
        <v>214</v>
      </c>
      <c r="G806" t="s">
        <v>171</v>
      </c>
      <c r="H806" t="s">
        <v>172</v>
      </c>
      <c r="I806" t="s">
        <v>27</v>
      </c>
      <c r="J806" t="s">
        <v>965</v>
      </c>
    </row>
    <row r="807" spans="1:10" x14ac:dyDescent="0.3">
      <c r="A807" t="s">
        <v>17</v>
      </c>
      <c r="B807">
        <v>58416.11</v>
      </c>
      <c r="C807">
        <v>48076.46</v>
      </c>
      <c r="D807" s="1">
        <v>43967</v>
      </c>
      <c r="E807" t="s">
        <v>23</v>
      </c>
      <c r="F807" t="s">
        <v>292</v>
      </c>
      <c r="G807" t="s">
        <v>19</v>
      </c>
      <c r="H807" t="s">
        <v>78</v>
      </c>
      <c r="I807" t="s">
        <v>27</v>
      </c>
      <c r="J807" t="s">
        <v>966</v>
      </c>
    </row>
    <row r="808" spans="1:10" x14ac:dyDescent="0.3">
      <c r="A808" t="s">
        <v>22</v>
      </c>
      <c r="B808">
        <v>59378.97</v>
      </c>
      <c r="C808">
        <v>52176.3</v>
      </c>
      <c r="D808" s="1">
        <v>43946</v>
      </c>
      <c r="E808" t="s">
        <v>23</v>
      </c>
      <c r="F808" t="s">
        <v>35</v>
      </c>
      <c r="G808" t="s">
        <v>25</v>
      </c>
      <c r="H808" t="s">
        <v>26</v>
      </c>
      <c r="I808" t="s">
        <v>27</v>
      </c>
      <c r="J808" t="s">
        <v>967</v>
      </c>
    </row>
    <row r="809" spans="1:10" x14ac:dyDescent="0.3">
      <c r="A809" t="s">
        <v>10</v>
      </c>
      <c r="B809">
        <v>73773.600000000006</v>
      </c>
      <c r="C809">
        <v>58421.31</v>
      </c>
      <c r="D809" s="1">
        <v>43851</v>
      </c>
      <c r="E809" t="s">
        <v>91</v>
      </c>
      <c r="F809" t="s">
        <v>656</v>
      </c>
      <c r="G809" t="s">
        <v>13</v>
      </c>
      <c r="H809" t="s">
        <v>110</v>
      </c>
      <c r="I809" t="s">
        <v>32</v>
      </c>
      <c r="J809" t="s">
        <v>968</v>
      </c>
    </row>
    <row r="810" spans="1:10" x14ac:dyDescent="0.3">
      <c r="A810" t="s">
        <v>10</v>
      </c>
      <c r="B810">
        <v>44029.07</v>
      </c>
      <c r="C810">
        <v>38344.92</v>
      </c>
      <c r="D810" s="1">
        <v>43717</v>
      </c>
      <c r="E810" t="s">
        <v>99</v>
      </c>
      <c r="F810" t="s">
        <v>139</v>
      </c>
      <c r="G810" t="s">
        <v>13</v>
      </c>
      <c r="H810" t="s">
        <v>46</v>
      </c>
      <c r="I810" t="s">
        <v>27</v>
      </c>
      <c r="J810" t="s">
        <v>969</v>
      </c>
    </row>
    <row r="811" spans="1:10" x14ac:dyDescent="0.3">
      <c r="A811" t="s">
        <v>17</v>
      </c>
      <c r="B811">
        <v>51504.5</v>
      </c>
      <c r="C811">
        <v>44592.6</v>
      </c>
      <c r="D811" s="1">
        <v>43730</v>
      </c>
      <c r="E811" t="s">
        <v>23</v>
      </c>
      <c r="F811" t="s">
        <v>174</v>
      </c>
      <c r="G811" t="s">
        <v>19</v>
      </c>
      <c r="H811" t="s">
        <v>20</v>
      </c>
      <c r="I811" t="s">
        <v>27</v>
      </c>
      <c r="J811" t="s">
        <v>970</v>
      </c>
    </row>
    <row r="812" spans="1:10" x14ac:dyDescent="0.3">
      <c r="A812" t="s">
        <v>17</v>
      </c>
      <c r="B812">
        <v>56068.7</v>
      </c>
      <c r="C812">
        <v>47378.05</v>
      </c>
      <c r="D812" s="1">
        <v>43618</v>
      </c>
      <c r="E812" t="s">
        <v>11</v>
      </c>
      <c r="F812" t="s">
        <v>92</v>
      </c>
      <c r="G812" t="s">
        <v>19</v>
      </c>
      <c r="H812" t="s">
        <v>157</v>
      </c>
      <c r="I812" t="s">
        <v>27</v>
      </c>
      <c r="J812" t="s">
        <v>971</v>
      </c>
    </row>
    <row r="813" spans="1:10" x14ac:dyDescent="0.3">
      <c r="A813" t="s">
        <v>22</v>
      </c>
      <c r="B813">
        <v>129022.02</v>
      </c>
      <c r="C813">
        <v>104585.25</v>
      </c>
      <c r="D813" s="1">
        <v>44002</v>
      </c>
      <c r="E813" t="s">
        <v>29</v>
      </c>
      <c r="F813" t="s">
        <v>373</v>
      </c>
      <c r="G813" t="s">
        <v>25</v>
      </c>
      <c r="H813" t="s">
        <v>26</v>
      </c>
      <c r="I813" t="s">
        <v>27</v>
      </c>
      <c r="J813" t="s">
        <v>972</v>
      </c>
    </row>
    <row r="814" spans="1:10" x14ac:dyDescent="0.3">
      <c r="A814" t="s">
        <v>34</v>
      </c>
      <c r="B814">
        <v>123751.91</v>
      </c>
      <c r="C814">
        <v>102590.33</v>
      </c>
      <c r="D814" s="1">
        <v>43787</v>
      </c>
      <c r="E814" t="s">
        <v>51</v>
      </c>
      <c r="F814" t="s">
        <v>56</v>
      </c>
      <c r="G814" t="s">
        <v>36</v>
      </c>
      <c r="H814" t="s">
        <v>93</v>
      </c>
      <c r="I814" t="s">
        <v>27</v>
      </c>
      <c r="J814" t="s">
        <v>973</v>
      </c>
    </row>
    <row r="815" spans="1:10" x14ac:dyDescent="0.3">
      <c r="A815" t="s">
        <v>54</v>
      </c>
      <c r="B815">
        <v>153011.39000000001</v>
      </c>
      <c r="C815">
        <v>131543.89000000001</v>
      </c>
      <c r="D815" s="1">
        <v>43721</v>
      </c>
      <c r="E815" t="s">
        <v>23</v>
      </c>
      <c r="F815" t="s">
        <v>56</v>
      </c>
      <c r="G815" t="s">
        <v>57</v>
      </c>
      <c r="H815" t="s">
        <v>58</v>
      </c>
      <c r="I815" t="s">
        <v>27</v>
      </c>
      <c r="J815" t="s">
        <v>974</v>
      </c>
    </row>
    <row r="816" spans="1:10" x14ac:dyDescent="0.3">
      <c r="A816" t="s">
        <v>39</v>
      </c>
      <c r="B816">
        <v>44232.84</v>
      </c>
      <c r="C816">
        <v>38880.67</v>
      </c>
      <c r="D816" s="1">
        <v>43881</v>
      </c>
      <c r="E816" t="s">
        <v>91</v>
      </c>
      <c r="F816" t="s">
        <v>56</v>
      </c>
      <c r="G816" t="s">
        <v>42</v>
      </c>
      <c r="H816" t="s">
        <v>43</v>
      </c>
      <c r="I816" t="s">
        <v>15</v>
      </c>
      <c r="J816" t="s">
        <v>975</v>
      </c>
    </row>
    <row r="817" spans="1:10" x14ac:dyDescent="0.3">
      <c r="A817" t="s">
        <v>22</v>
      </c>
      <c r="B817">
        <v>51416.24</v>
      </c>
      <c r="C817">
        <v>43338.75</v>
      </c>
      <c r="D817" s="1">
        <v>43936</v>
      </c>
      <c r="E817" t="s">
        <v>51</v>
      </c>
      <c r="F817" t="s">
        <v>102</v>
      </c>
      <c r="G817" t="s">
        <v>25</v>
      </c>
      <c r="H817" t="s">
        <v>52</v>
      </c>
      <c r="I817" t="s">
        <v>27</v>
      </c>
      <c r="J817" t="s">
        <v>976</v>
      </c>
    </row>
    <row r="818" spans="1:10" x14ac:dyDescent="0.3">
      <c r="A818" t="s">
        <v>17</v>
      </c>
      <c r="B818">
        <v>78629.19</v>
      </c>
      <c r="C818">
        <v>63359.4</v>
      </c>
      <c r="D818" s="1">
        <v>43517</v>
      </c>
      <c r="E818" t="s">
        <v>23</v>
      </c>
      <c r="F818" t="s">
        <v>56</v>
      </c>
      <c r="G818" t="s">
        <v>19</v>
      </c>
      <c r="H818" t="s">
        <v>20</v>
      </c>
      <c r="I818" t="s">
        <v>32</v>
      </c>
      <c r="J818" t="s">
        <v>977</v>
      </c>
    </row>
    <row r="819" spans="1:10" x14ac:dyDescent="0.3">
      <c r="A819" t="s">
        <v>22</v>
      </c>
      <c r="B819">
        <v>95566.43</v>
      </c>
      <c r="C819">
        <v>80342.7</v>
      </c>
      <c r="D819" s="1">
        <v>43651</v>
      </c>
      <c r="E819" t="s">
        <v>40</v>
      </c>
      <c r="F819" t="s">
        <v>106</v>
      </c>
      <c r="G819" t="s">
        <v>25</v>
      </c>
      <c r="H819" t="s">
        <v>63</v>
      </c>
      <c r="I819" t="s">
        <v>27</v>
      </c>
      <c r="J819" t="s">
        <v>978</v>
      </c>
    </row>
    <row r="820" spans="1:10" x14ac:dyDescent="0.3">
      <c r="A820" t="s">
        <v>34</v>
      </c>
      <c r="B820">
        <v>123272.44</v>
      </c>
      <c r="C820">
        <v>101576.49</v>
      </c>
      <c r="D820" s="1">
        <v>43485</v>
      </c>
      <c r="E820" t="s">
        <v>40</v>
      </c>
      <c r="F820" t="s">
        <v>222</v>
      </c>
      <c r="G820" t="s">
        <v>36</v>
      </c>
      <c r="H820" t="s">
        <v>37</v>
      </c>
      <c r="I820" t="s">
        <v>15</v>
      </c>
      <c r="J820" t="s">
        <v>979</v>
      </c>
    </row>
    <row r="821" spans="1:10" x14ac:dyDescent="0.3">
      <c r="A821" t="s">
        <v>34</v>
      </c>
      <c r="B821">
        <v>34748.75</v>
      </c>
      <c r="C821">
        <v>27475.84</v>
      </c>
      <c r="D821" s="1">
        <v>44101</v>
      </c>
      <c r="E821" t="s">
        <v>51</v>
      </c>
      <c r="F821" t="s">
        <v>89</v>
      </c>
      <c r="G821" t="s">
        <v>36</v>
      </c>
      <c r="H821" t="s">
        <v>37</v>
      </c>
      <c r="I821" t="s">
        <v>15</v>
      </c>
      <c r="J821" t="s">
        <v>980</v>
      </c>
    </row>
    <row r="822" spans="1:10" x14ac:dyDescent="0.3">
      <c r="A822" t="s">
        <v>169</v>
      </c>
      <c r="B822">
        <v>109892.92</v>
      </c>
      <c r="C822">
        <v>89441.85</v>
      </c>
      <c r="D822" s="1">
        <v>43987</v>
      </c>
      <c r="E822" t="s">
        <v>91</v>
      </c>
      <c r="F822" t="s">
        <v>312</v>
      </c>
      <c r="G822" t="s">
        <v>171</v>
      </c>
      <c r="H822" t="s">
        <v>298</v>
      </c>
      <c r="I822" t="s">
        <v>27</v>
      </c>
      <c r="J822" t="s">
        <v>981</v>
      </c>
    </row>
    <row r="823" spans="1:10" x14ac:dyDescent="0.3">
      <c r="A823" t="s">
        <v>10</v>
      </c>
      <c r="B823">
        <v>177993.88</v>
      </c>
      <c r="C823">
        <v>145029.41</v>
      </c>
      <c r="D823" s="1">
        <v>43508</v>
      </c>
      <c r="E823" t="s">
        <v>181</v>
      </c>
      <c r="F823" t="s">
        <v>56</v>
      </c>
      <c r="G823" t="s">
        <v>13</v>
      </c>
      <c r="H823" t="s">
        <v>46</v>
      </c>
      <c r="I823" t="s">
        <v>15</v>
      </c>
      <c r="J823" t="s">
        <v>982</v>
      </c>
    </row>
    <row r="824" spans="1:10" x14ac:dyDescent="0.3">
      <c r="A824" t="s">
        <v>22</v>
      </c>
      <c r="B824">
        <v>243176.92</v>
      </c>
      <c r="C824">
        <v>202250.23999999999</v>
      </c>
      <c r="D824" s="1">
        <v>43897</v>
      </c>
      <c r="E824" t="s">
        <v>23</v>
      </c>
      <c r="F824" t="s">
        <v>335</v>
      </c>
      <c r="G824" t="s">
        <v>25</v>
      </c>
      <c r="H824" t="s">
        <v>63</v>
      </c>
      <c r="I824" t="s">
        <v>27</v>
      </c>
      <c r="J824" t="s">
        <v>983</v>
      </c>
    </row>
    <row r="825" spans="1:10" x14ac:dyDescent="0.3">
      <c r="A825" t="s">
        <v>151</v>
      </c>
      <c r="B825">
        <v>31966.82</v>
      </c>
      <c r="C825">
        <v>26593.200000000001</v>
      </c>
      <c r="D825" s="1">
        <v>44067</v>
      </c>
      <c r="E825" t="s">
        <v>23</v>
      </c>
      <c r="F825" t="s">
        <v>56</v>
      </c>
      <c r="G825" t="s">
        <v>152</v>
      </c>
      <c r="H825" t="s">
        <v>153</v>
      </c>
      <c r="I825" t="s">
        <v>27</v>
      </c>
      <c r="J825" t="s">
        <v>984</v>
      </c>
    </row>
    <row r="826" spans="1:10" x14ac:dyDescent="0.3">
      <c r="A826" t="s">
        <v>10</v>
      </c>
      <c r="B826">
        <v>64053.77</v>
      </c>
      <c r="C826">
        <v>54733.95</v>
      </c>
      <c r="D826" s="1">
        <v>43839</v>
      </c>
      <c r="E826" t="s">
        <v>76</v>
      </c>
      <c r="F826" t="s">
        <v>126</v>
      </c>
      <c r="G826" t="s">
        <v>13</v>
      </c>
      <c r="H826" t="s">
        <v>81</v>
      </c>
      <c r="I826" t="s">
        <v>27</v>
      </c>
      <c r="J826" t="s">
        <v>985</v>
      </c>
    </row>
    <row r="827" spans="1:10" x14ac:dyDescent="0.3">
      <c r="A827" t="s">
        <v>54</v>
      </c>
      <c r="B827">
        <v>36747.24</v>
      </c>
      <c r="C827">
        <v>31900.28</v>
      </c>
      <c r="D827" s="1">
        <v>43484</v>
      </c>
      <c r="E827" t="s">
        <v>55</v>
      </c>
      <c r="F827" t="s">
        <v>56</v>
      </c>
      <c r="G827" t="s">
        <v>57</v>
      </c>
      <c r="H827" t="s">
        <v>58</v>
      </c>
      <c r="I827" t="s">
        <v>27</v>
      </c>
      <c r="J827" t="s">
        <v>986</v>
      </c>
    </row>
    <row r="828" spans="1:10" x14ac:dyDescent="0.3">
      <c r="A828" t="s">
        <v>10</v>
      </c>
      <c r="B828">
        <v>116548.17</v>
      </c>
      <c r="C828">
        <v>92119.67</v>
      </c>
      <c r="D828" s="1">
        <v>43956</v>
      </c>
      <c r="E828" t="s">
        <v>40</v>
      </c>
      <c r="F828" t="s">
        <v>56</v>
      </c>
      <c r="G828" t="s">
        <v>13</v>
      </c>
      <c r="H828" t="s">
        <v>81</v>
      </c>
      <c r="I828" t="s">
        <v>27</v>
      </c>
      <c r="J828" t="s">
        <v>987</v>
      </c>
    </row>
    <row r="829" spans="1:10" x14ac:dyDescent="0.3">
      <c r="A829" t="s">
        <v>122</v>
      </c>
      <c r="B829">
        <v>98963.03</v>
      </c>
      <c r="C829">
        <v>80367.88</v>
      </c>
      <c r="D829" s="1">
        <v>44175</v>
      </c>
      <c r="E829" t="s">
        <v>55</v>
      </c>
      <c r="F829" t="s">
        <v>170</v>
      </c>
      <c r="G829" t="s">
        <v>123</v>
      </c>
      <c r="H829" t="s">
        <v>124</v>
      </c>
      <c r="I829" t="s">
        <v>27</v>
      </c>
      <c r="J829" t="s">
        <v>988</v>
      </c>
    </row>
    <row r="830" spans="1:10" x14ac:dyDescent="0.3">
      <c r="A830" t="s">
        <v>151</v>
      </c>
      <c r="B830">
        <v>126409.18</v>
      </c>
      <c r="C830">
        <v>104692.08</v>
      </c>
      <c r="D830" s="1">
        <v>43931</v>
      </c>
      <c r="E830" t="s">
        <v>51</v>
      </c>
      <c r="F830" t="s">
        <v>174</v>
      </c>
      <c r="G830" t="s">
        <v>152</v>
      </c>
      <c r="H830" t="s">
        <v>197</v>
      </c>
      <c r="I830" t="s">
        <v>27</v>
      </c>
      <c r="J830" t="s">
        <v>989</v>
      </c>
    </row>
    <row r="831" spans="1:10" x14ac:dyDescent="0.3">
      <c r="A831" t="s">
        <v>34</v>
      </c>
      <c r="B831">
        <v>124537.47</v>
      </c>
      <c r="C831">
        <v>105881.76</v>
      </c>
      <c r="D831" s="1">
        <v>43732</v>
      </c>
      <c r="E831" t="s">
        <v>40</v>
      </c>
      <c r="F831" t="s">
        <v>256</v>
      </c>
      <c r="G831" t="s">
        <v>36</v>
      </c>
      <c r="H831" t="s">
        <v>104</v>
      </c>
      <c r="I831" t="s">
        <v>27</v>
      </c>
      <c r="J831" t="s">
        <v>990</v>
      </c>
    </row>
    <row r="832" spans="1:10" x14ac:dyDescent="0.3">
      <c r="A832" t="s">
        <v>34</v>
      </c>
      <c r="B832">
        <v>159052.70000000001</v>
      </c>
      <c r="C832">
        <v>127926.09</v>
      </c>
      <c r="D832" s="1">
        <v>43471</v>
      </c>
      <c r="E832" t="s">
        <v>11</v>
      </c>
      <c r="F832" t="s">
        <v>461</v>
      </c>
      <c r="G832" t="s">
        <v>36</v>
      </c>
      <c r="H832" t="s">
        <v>37</v>
      </c>
      <c r="I832" t="s">
        <v>27</v>
      </c>
      <c r="J832" t="s">
        <v>991</v>
      </c>
    </row>
    <row r="833" spans="1:10" x14ac:dyDescent="0.3">
      <c r="A833" t="s">
        <v>169</v>
      </c>
      <c r="B833">
        <v>58948.52</v>
      </c>
      <c r="C833">
        <v>49416.54</v>
      </c>
      <c r="D833" s="1">
        <v>43971</v>
      </c>
      <c r="E833" t="s">
        <v>40</v>
      </c>
      <c r="F833" t="s">
        <v>18</v>
      </c>
      <c r="G833" t="s">
        <v>171</v>
      </c>
      <c r="H833" t="s">
        <v>172</v>
      </c>
      <c r="I833" t="s">
        <v>27</v>
      </c>
      <c r="J833" t="s">
        <v>992</v>
      </c>
    </row>
    <row r="834" spans="1:10" x14ac:dyDescent="0.3">
      <c r="A834" t="s">
        <v>39</v>
      </c>
      <c r="B834">
        <v>37636.910000000003</v>
      </c>
      <c r="C834">
        <v>30847.21</v>
      </c>
      <c r="D834" s="1">
        <v>43906</v>
      </c>
      <c r="E834" t="s">
        <v>23</v>
      </c>
      <c r="F834" t="s">
        <v>236</v>
      </c>
      <c r="G834" t="s">
        <v>42</v>
      </c>
      <c r="H834" t="s">
        <v>43</v>
      </c>
      <c r="I834" t="s">
        <v>32</v>
      </c>
      <c r="J834" t="s">
        <v>993</v>
      </c>
    </row>
    <row r="835" spans="1:10" x14ac:dyDescent="0.3">
      <c r="A835" t="s">
        <v>122</v>
      </c>
      <c r="B835">
        <v>149372.32</v>
      </c>
      <c r="C835">
        <v>130611.16</v>
      </c>
      <c r="D835" s="1">
        <v>44185</v>
      </c>
      <c r="E835" t="s">
        <v>29</v>
      </c>
      <c r="F835" t="s">
        <v>183</v>
      </c>
      <c r="G835" t="s">
        <v>123</v>
      </c>
      <c r="H835" t="s">
        <v>254</v>
      </c>
      <c r="I835" t="s">
        <v>32</v>
      </c>
      <c r="J835" t="s">
        <v>994</v>
      </c>
    </row>
    <row r="836" spans="1:10" x14ac:dyDescent="0.3">
      <c r="A836" t="s">
        <v>34</v>
      </c>
      <c r="B836">
        <v>124234.91</v>
      </c>
      <c r="C836">
        <v>98244.97</v>
      </c>
      <c r="D836" s="1">
        <v>44093</v>
      </c>
      <c r="E836" t="s">
        <v>181</v>
      </c>
      <c r="F836" t="s">
        <v>56</v>
      </c>
      <c r="G836" t="s">
        <v>36</v>
      </c>
      <c r="H836" t="s">
        <v>37</v>
      </c>
      <c r="I836" t="s">
        <v>27</v>
      </c>
      <c r="J836" t="s">
        <v>995</v>
      </c>
    </row>
    <row r="837" spans="1:10" x14ac:dyDescent="0.3">
      <c r="A837" t="s">
        <v>22</v>
      </c>
      <c r="B837">
        <v>120453.52</v>
      </c>
      <c r="C837">
        <v>97218.04</v>
      </c>
      <c r="D837" s="1">
        <v>43771</v>
      </c>
      <c r="E837" t="s">
        <v>76</v>
      </c>
      <c r="F837" t="s">
        <v>156</v>
      </c>
      <c r="G837" t="s">
        <v>25</v>
      </c>
      <c r="H837" t="s">
        <v>87</v>
      </c>
      <c r="I837" t="s">
        <v>27</v>
      </c>
      <c r="J837" t="s">
        <v>996</v>
      </c>
    </row>
    <row r="838" spans="1:10" x14ac:dyDescent="0.3">
      <c r="A838" t="s">
        <v>22</v>
      </c>
      <c r="B838">
        <v>50796.04</v>
      </c>
      <c r="C838">
        <v>44090.96</v>
      </c>
      <c r="D838" s="1">
        <v>43729</v>
      </c>
      <c r="E838" t="s">
        <v>91</v>
      </c>
      <c r="F838" t="s">
        <v>400</v>
      </c>
      <c r="G838" t="s">
        <v>25</v>
      </c>
      <c r="H838" t="s">
        <v>63</v>
      </c>
      <c r="I838" t="s">
        <v>27</v>
      </c>
      <c r="J838" t="s">
        <v>997</v>
      </c>
    </row>
    <row r="839" spans="1:10" x14ac:dyDescent="0.3">
      <c r="A839" t="s">
        <v>129</v>
      </c>
      <c r="B839">
        <v>116563.4</v>
      </c>
      <c r="C839">
        <v>92807.78</v>
      </c>
      <c r="D839" s="1">
        <v>43734</v>
      </c>
      <c r="E839" t="s">
        <v>11</v>
      </c>
      <c r="F839" t="s">
        <v>256</v>
      </c>
      <c r="G839" t="s">
        <v>130</v>
      </c>
      <c r="H839" t="s">
        <v>159</v>
      </c>
      <c r="I839" t="s">
        <v>32</v>
      </c>
      <c r="J839" t="s">
        <v>998</v>
      </c>
    </row>
    <row r="840" spans="1:10" x14ac:dyDescent="0.3">
      <c r="A840" t="s">
        <v>17</v>
      </c>
      <c r="B840">
        <v>19366.75</v>
      </c>
      <c r="C840">
        <v>15857.49</v>
      </c>
      <c r="D840" s="1">
        <v>43918</v>
      </c>
      <c r="E840" t="s">
        <v>11</v>
      </c>
      <c r="F840" t="s">
        <v>18</v>
      </c>
      <c r="G840" t="s">
        <v>19</v>
      </c>
      <c r="H840" t="s">
        <v>49</v>
      </c>
      <c r="I840" t="s">
        <v>27</v>
      </c>
      <c r="J840" t="s">
        <v>999</v>
      </c>
    </row>
    <row r="841" spans="1:10" x14ac:dyDescent="0.3">
      <c r="A841" t="s">
        <v>17</v>
      </c>
      <c r="B841">
        <v>96613.06</v>
      </c>
      <c r="C841">
        <v>79242.03</v>
      </c>
      <c r="D841" s="1">
        <v>43579</v>
      </c>
      <c r="E841" t="s">
        <v>91</v>
      </c>
      <c r="F841" t="s">
        <v>56</v>
      </c>
      <c r="G841" t="s">
        <v>19</v>
      </c>
      <c r="H841" t="s">
        <v>157</v>
      </c>
      <c r="I841" t="s">
        <v>27</v>
      </c>
      <c r="J841" t="s">
        <v>1000</v>
      </c>
    </row>
    <row r="842" spans="1:10" x14ac:dyDescent="0.3">
      <c r="A842" t="s">
        <v>22</v>
      </c>
      <c r="B842">
        <v>296465.56</v>
      </c>
      <c r="C842">
        <v>257480.34</v>
      </c>
      <c r="D842" s="1">
        <v>43776</v>
      </c>
      <c r="E842" t="s">
        <v>40</v>
      </c>
      <c r="F842" t="s">
        <v>244</v>
      </c>
      <c r="G842" t="s">
        <v>25</v>
      </c>
      <c r="H842" t="s">
        <v>167</v>
      </c>
      <c r="I842" t="s">
        <v>27</v>
      </c>
      <c r="J842" t="s">
        <v>1001</v>
      </c>
    </row>
    <row r="843" spans="1:10" x14ac:dyDescent="0.3">
      <c r="A843" t="s">
        <v>129</v>
      </c>
      <c r="B843">
        <v>35619.279999999999</v>
      </c>
      <c r="C843">
        <v>28192.66</v>
      </c>
      <c r="D843" s="1">
        <v>43678</v>
      </c>
      <c r="E843" t="s">
        <v>29</v>
      </c>
      <c r="F843" t="s">
        <v>300</v>
      </c>
      <c r="G843" t="s">
        <v>130</v>
      </c>
      <c r="H843" t="s">
        <v>159</v>
      </c>
      <c r="I843" t="s">
        <v>27</v>
      </c>
      <c r="J843" t="s">
        <v>1002</v>
      </c>
    </row>
    <row r="844" spans="1:10" x14ac:dyDescent="0.3">
      <c r="A844" t="s">
        <v>17</v>
      </c>
      <c r="B844">
        <v>133985.91</v>
      </c>
      <c r="C844">
        <v>116741.92</v>
      </c>
      <c r="D844" s="1">
        <v>43480</v>
      </c>
      <c r="E844" t="s">
        <v>40</v>
      </c>
      <c r="F844" t="s">
        <v>80</v>
      </c>
      <c r="G844" t="s">
        <v>19</v>
      </c>
      <c r="H844" t="s">
        <v>20</v>
      </c>
      <c r="I844" t="s">
        <v>27</v>
      </c>
      <c r="J844" t="s">
        <v>1003</v>
      </c>
    </row>
    <row r="845" spans="1:10" x14ac:dyDescent="0.3">
      <c r="A845" t="s">
        <v>216</v>
      </c>
      <c r="B845">
        <v>119858.15</v>
      </c>
      <c r="C845">
        <v>99997.65</v>
      </c>
      <c r="D845" s="1">
        <v>44154</v>
      </c>
      <c r="E845" t="s">
        <v>29</v>
      </c>
      <c r="F845" t="s">
        <v>211</v>
      </c>
      <c r="G845" t="s">
        <v>217</v>
      </c>
      <c r="H845" t="s">
        <v>218</v>
      </c>
      <c r="I845" t="s">
        <v>27</v>
      </c>
      <c r="J845" t="s">
        <v>1004</v>
      </c>
    </row>
    <row r="846" spans="1:10" x14ac:dyDescent="0.3">
      <c r="A846" t="s">
        <v>22</v>
      </c>
      <c r="B846">
        <v>85390.17</v>
      </c>
      <c r="C846">
        <v>74400.460000000006</v>
      </c>
      <c r="D846" s="1">
        <v>43490</v>
      </c>
      <c r="E846" t="s">
        <v>29</v>
      </c>
      <c r="F846" t="s">
        <v>415</v>
      </c>
      <c r="G846" t="s">
        <v>25</v>
      </c>
      <c r="H846" t="s">
        <v>87</v>
      </c>
      <c r="I846" t="s">
        <v>27</v>
      </c>
      <c r="J846" t="s">
        <v>1005</v>
      </c>
    </row>
    <row r="847" spans="1:10" x14ac:dyDescent="0.3">
      <c r="A847" t="s">
        <v>122</v>
      </c>
      <c r="B847">
        <v>124611.61</v>
      </c>
      <c r="C847">
        <v>107776.58</v>
      </c>
      <c r="D847" s="1">
        <v>44093</v>
      </c>
      <c r="E847" t="s">
        <v>29</v>
      </c>
      <c r="F847" t="s">
        <v>89</v>
      </c>
      <c r="G847" t="s">
        <v>123</v>
      </c>
      <c r="H847" t="s">
        <v>254</v>
      </c>
      <c r="I847" t="s">
        <v>27</v>
      </c>
      <c r="J847" t="s">
        <v>1006</v>
      </c>
    </row>
    <row r="848" spans="1:10" x14ac:dyDescent="0.3">
      <c r="A848" t="s">
        <v>129</v>
      </c>
      <c r="B848">
        <v>161984.91</v>
      </c>
      <c r="C848">
        <v>138237.92000000001</v>
      </c>
      <c r="D848" s="1">
        <v>44049</v>
      </c>
      <c r="E848" t="s">
        <v>23</v>
      </c>
      <c r="F848" t="s">
        <v>45</v>
      </c>
      <c r="G848" t="s">
        <v>130</v>
      </c>
      <c r="H848" t="s">
        <v>131</v>
      </c>
      <c r="I848" t="s">
        <v>27</v>
      </c>
      <c r="J848" t="s">
        <v>1007</v>
      </c>
    </row>
    <row r="849" spans="1:10" x14ac:dyDescent="0.3">
      <c r="A849" t="s">
        <v>247</v>
      </c>
      <c r="B849">
        <v>76183.740000000005</v>
      </c>
      <c r="C849">
        <v>61617.41</v>
      </c>
      <c r="D849" s="1">
        <v>43530</v>
      </c>
      <c r="E849" t="s">
        <v>40</v>
      </c>
      <c r="F849" t="s">
        <v>285</v>
      </c>
      <c r="G849" t="s">
        <v>248</v>
      </c>
      <c r="H849" t="s">
        <v>249</v>
      </c>
      <c r="I849" t="s">
        <v>32</v>
      </c>
      <c r="J849" t="s">
        <v>1008</v>
      </c>
    </row>
    <row r="850" spans="1:10" x14ac:dyDescent="0.3">
      <c r="A850" t="s">
        <v>10</v>
      </c>
      <c r="B850">
        <v>112228.82</v>
      </c>
      <c r="C850">
        <v>97470.73</v>
      </c>
      <c r="D850" s="1">
        <v>43723</v>
      </c>
      <c r="E850" t="s">
        <v>181</v>
      </c>
      <c r="F850" t="s">
        <v>335</v>
      </c>
      <c r="G850" t="s">
        <v>13</v>
      </c>
      <c r="H850" t="s">
        <v>72</v>
      </c>
      <c r="I850" t="s">
        <v>27</v>
      </c>
      <c r="J850" t="s">
        <v>1009</v>
      </c>
    </row>
    <row r="851" spans="1:10" x14ac:dyDescent="0.3">
      <c r="A851" t="s">
        <v>22</v>
      </c>
      <c r="B851">
        <v>97291.62</v>
      </c>
      <c r="C851">
        <v>76899.3</v>
      </c>
      <c r="D851" s="1">
        <v>43862</v>
      </c>
      <c r="E851" t="s">
        <v>40</v>
      </c>
      <c r="F851" t="s">
        <v>56</v>
      </c>
      <c r="G851" t="s">
        <v>25</v>
      </c>
      <c r="H851" t="s">
        <v>63</v>
      </c>
      <c r="I851" t="s">
        <v>27</v>
      </c>
      <c r="J851" t="s">
        <v>1010</v>
      </c>
    </row>
    <row r="852" spans="1:10" x14ac:dyDescent="0.3">
      <c r="A852" t="s">
        <v>10</v>
      </c>
      <c r="B852">
        <v>131402.37</v>
      </c>
      <c r="C852">
        <v>106383.36</v>
      </c>
      <c r="D852" s="1">
        <v>43534</v>
      </c>
      <c r="E852" t="s">
        <v>76</v>
      </c>
      <c r="F852" t="s">
        <v>56</v>
      </c>
      <c r="G852" t="s">
        <v>13</v>
      </c>
      <c r="H852" t="s">
        <v>81</v>
      </c>
      <c r="I852" t="s">
        <v>27</v>
      </c>
      <c r="J852" t="s">
        <v>1011</v>
      </c>
    </row>
    <row r="853" spans="1:10" x14ac:dyDescent="0.3">
      <c r="A853" t="s">
        <v>34</v>
      </c>
      <c r="B853">
        <v>173258.94</v>
      </c>
      <c r="C853">
        <v>143198.51</v>
      </c>
      <c r="D853" s="1">
        <v>43609</v>
      </c>
      <c r="E853" t="s">
        <v>40</v>
      </c>
      <c r="F853" t="s">
        <v>56</v>
      </c>
      <c r="G853" t="s">
        <v>36</v>
      </c>
      <c r="H853" t="s">
        <v>93</v>
      </c>
      <c r="I853" t="s">
        <v>27</v>
      </c>
      <c r="J853" t="s">
        <v>1012</v>
      </c>
    </row>
    <row r="854" spans="1:10" x14ac:dyDescent="0.3">
      <c r="A854" t="s">
        <v>22</v>
      </c>
      <c r="B854">
        <v>72857.41</v>
      </c>
      <c r="C854">
        <v>60442.51</v>
      </c>
      <c r="D854" s="1">
        <v>44109</v>
      </c>
      <c r="E854" t="s">
        <v>40</v>
      </c>
      <c r="F854" t="s">
        <v>126</v>
      </c>
      <c r="G854" t="s">
        <v>25</v>
      </c>
      <c r="H854" t="s">
        <v>87</v>
      </c>
      <c r="I854" t="s">
        <v>27</v>
      </c>
      <c r="J854" t="s">
        <v>1013</v>
      </c>
    </row>
    <row r="855" spans="1:10" x14ac:dyDescent="0.3">
      <c r="A855" t="s">
        <v>34</v>
      </c>
      <c r="B855">
        <v>99114.91</v>
      </c>
      <c r="C855">
        <v>84217.94</v>
      </c>
      <c r="D855" s="1">
        <v>43925</v>
      </c>
      <c r="E855" t="s">
        <v>40</v>
      </c>
      <c r="F855" t="s">
        <v>56</v>
      </c>
      <c r="G855" t="s">
        <v>36</v>
      </c>
      <c r="H855" t="s">
        <v>104</v>
      </c>
      <c r="I855" t="s">
        <v>27</v>
      </c>
      <c r="J855" t="s">
        <v>1014</v>
      </c>
    </row>
    <row r="856" spans="1:10" x14ac:dyDescent="0.3">
      <c r="A856" t="s">
        <v>22</v>
      </c>
      <c r="B856">
        <v>102495.13</v>
      </c>
      <c r="C856">
        <v>85009.46</v>
      </c>
      <c r="D856" s="1">
        <v>44051</v>
      </c>
      <c r="E856" t="s">
        <v>51</v>
      </c>
      <c r="F856" t="s">
        <v>285</v>
      </c>
      <c r="G856" t="s">
        <v>25</v>
      </c>
      <c r="H856" t="s">
        <v>63</v>
      </c>
      <c r="I856" t="s">
        <v>15</v>
      </c>
      <c r="J856" t="s">
        <v>1015</v>
      </c>
    </row>
    <row r="857" spans="1:10" x14ac:dyDescent="0.3">
      <c r="A857" t="s">
        <v>17</v>
      </c>
      <c r="B857">
        <v>119820.82</v>
      </c>
      <c r="C857">
        <v>98289.02</v>
      </c>
      <c r="D857" s="1">
        <v>43632</v>
      </c>
      <c r="E857" t="s">
        <v>23</v>
      </c>
      <c r="F857" t="s">
        <v>314</v>
      </c>
      <c r="G857" t="s">
        <v>19</v>
      </c>
      <c r="H857" t="s">
        <v>20</v>
      </c>
      <c r="I857" t="s">
        <v>27</v>
      </c>
      <c r="J857" t="s">
        <v>1016</v>
      </c>
    </row>
    <row r="858" spans="1:10" x14ac:dyDescent="0.3">
      <c r="A858" t="s">
        <v>17</v>
      </c>
      <c r="B858">
        <v>66141.13</v>
      </c>
      <c r="C858">
        <v>53435.42</v>
      </c>
      <c r="D858" s="1">
        <v>43611</v>
      </c>
      <c r="E858" t="s">
        <v>40</v>
      </c>
      <c r="F858" t="s">
        <v>292</v>
      </c>
      <c r="G858" t="s">
        <v>19</v>
      </c>
      <c r="H858" t="s">
        <v>157</v>
      </c>
      <c r="I858" t="s">
        <v>27</v>
      </c>
      <c r="J858" t="s">
        <v>1017</v>
      </c>
    </row>
    <row r="859" spans="1:10" x14ac:dyDescent="0.3">
      <c r="A859" t="s">
        <v>10</v>
      </c>
      <c r="B859">
        <v>149938.71</v>
      </c>
      <c r="C859">
        <v>131541.23000000001</v>
      </c>
      <c r="D859" s="1">
        <v>44189</v>
      </c>
      <c r="E859" t="s">
        <v>91</v>
      </c>
      <c r="F859" t="s">
        <v>373</v>
      </c>
      <c r="G859" t="s">
        <v>13</v>
      </c>
      <c r="H859" t="s">
        <v>72</v>
      </c>
      <c r="I859" t="s">
        <v>27</v>
      </c>
      <c r="J859" t="s">
        <v>1018</v>
      </c>
    </row>
    <row r="860" spans="1:10" x14ac:dyDescent="0.3">
      <c r="A860" t="s">
        <v>10</v>
      </c>
      <c r="B860">
        <v>124093.75999999999</v>
      </c>
      <c r="C860">
        <v>105231.51</v>
      </c>
      <c r="D860" s="1">
        <v>43753</v>
      </c>
      <c r="E860" t="s">
        <v>29</v>
      </c>
      <c r="F860" t="s">
        <v>126</v>
      </c>
      <c r="G860" t="s">
        <v>13</v>
      </c>
      <c r="H860" t="s">
        <v>81</v>
      </c>
      <c r="I860" t="s">
        <v>27</v>
      </c>
      <c r="J860" t="s">
        <v>1019</v>
      </c>
    </row>
    <row r="861" spans="1:10" x14ac:dyDescent="0.3">
      <c r="A861" t="s">
        <v>17</v>
      </c>
      <c r="B861">
        <v>98915.41</v>
      </c>
      <c r="C861">
        <v>85176.06</v>
      </c>
      <c r="D861" s="1">
        <v>43865</v>
      </c>
      <c r="E861" t="s">
        <v>29</v>
      </c>
      <c r="F861" t="s">
        <v>35</v>
      </c>
      <c r="G861" t="s">
        <v>19</v>
      </c>
      <c r="H861" t="s">
        <v>157</v>
      </c>
      <c r="I861" t="s">
        <v>32</v>
      </c>
      <c r="J861" t="s">
        <v>1020</v>
      </c>
    </row>
    <row r="862" spans="1:10" x14ac:dyDescent="0.3">
      <c r="A862" t="s">
        <v>17</v>
      </c>
      <c r="B862">
        <v>141948.10999999999</v>
      </c>
      <c r="C862">
        <v>112948.11</v>
      </c>
      <c r="D862" s="1">
        <v>43946</v>
      </c>
      <c r="E862" t="s">
        <v>91</v>
      </c>
      <c r="F862" t="s">
        <v>292</v>
      </c>
      <c r="G862" t="s">
        <v>19</v>
      </c>
      <c r="H862" t="s">
        <v>78</v>
      </c>
      <c r="I862" t="s">
        <v>27</v>
      </c>
      <c r="J862" t="s">
        <v>1021</v>
      </c>
    </row>
    <row r="863" spans="1:10" x14ac:dyDescent="0.3">
      <c r="A863" t="s">
        <v>17</v>
      </c>
      <c r="B863">
        <v>162123.74</v>
      </c>
      <c r="C863">
        <v>133979.06</v>
      </c>
      <c r="D863" s="1">
        <v>43935</v>
      </c>
      <c r="E863" t="s">
        <v>76</v>
      </c>
      <c r="F863" t="s">
        <v>56</v>
      </c>
      <c r="G863" t="s">
        <v>19</v>
      </c>
      <c r="H863" t="s">
        <v>78</v>
      </c>
      <c r="I863" t="s">
        <v>27</v>
      </c>
      <c r="J863" t="s">
        <v>1022</v>
      </c>
    </row>
    <row r="864" spans="1:10" x14ac:dyDescent="0.3">
      <c r="A864" t="s">
        <v>54</v>
      </c>
      <c r="B864">
        <v>44118.5</v>
      </c>
      <c r="C864">
        <v>38250.74</v>
      </c>
      <c r="D864" s="1">
        <v>43924</v>
      </c>
      <c r="E864" t="s">
        <v>29</v>
      </c>
      <c r="F864" t="s">
        <v>45</v>
      </c>
      <c r="G864" t="s">
        <v>57</v>
      </c>
      <c r="H864" t="s">
        <v>58</v>
      </c>
      <c r="I864" t="s">
        <v>32</v>
      </c>
      <c r="J864" t="s">
        <v>1023</v>
      </c>
    </row>
    <row r="865" spans="1:10" x14ac:dyDescent="0.3">
      <c r="A865" t="s">
        <v>216</v>
      </c>
      <c r="B865">
        <v>85237.91</v>
      </c>
      <c r="C865">
        <v>72384.03</v>
      </c>
      <c r="D865" s="1">
        <v>43908</v>
      </c>
      <c r="E865" t="s">
        <v>51</v>
      </c>
      <c r="F865" t="s">
        <v>126</v>
      </c>
      <c r="G865" t="s">
        <v>217</v>
      </c>
      <c r="H865" t="s">
        <v>218</v>
      </c>
      <c r="I865" t="s">
        <v>27</v>
      </c>
      <c r="J865" t="s">
        <v>1024</v>
      </c>
    </row>
    <row r="866" spans="1:10" x14ac:dyDescent="0.3">
      <c r="A866" t="s">
        <v>17</v>
      </c>
      <c r="B866">
        <v>65036.81</v>
      </c>
      <c r="C866">
        <v>52361.14</v>
      </c>
      <c r="D866" s="1">
        <v>43615</v>
      </c>
      <c r="E866" t="s">
        <v>99</v>
      </c>
      <c r="F866" t="s">
        <v>314</v>
      </c>
      <c r="G866" t="s">
        <v>19</v>
      </c>
      <c r="H866" t="s">
        <v>20</v>
      </c>
      <c r="I866" t="s">
        <v>27</v>
      </c>
      <c r="J866" t="s">
        <v>1025</v>
      </c>
    </row>
    <row r="867" spans="1:10" x14ac:dyDescent="0.3">
      <c r="A867" t="s">
        <v>22</v>
      </c>
      <c r="B867">
        <v>49990.720000000001</v>
      </c>
      <c r="C867">
        <v>42927.03</v>
      </c>
      <c r="D867" s="1">
        <v>43922</v>
      </c>
      <c r="E867" t="s">
        <v>29</v>
      </c>
      <c r="F867" t="s">
        <v>149</v>
      </c>
      <c r="G867" t="s">
        <v>25</v>
      </c>
      <c r="H867" t="s">
        <v>167</v>
      </c>
      <c r="I867" t="s">
        <v>27</v>
      </c>
      <c r="J867" t="s">
        <v>1026</v>
      </c>
    </row>
    <row r="868" spans="1:10" x14ac:dyDescent="0.3">
      <c r="A868" t="s">
        <v>22</v>
      </c>
      <c r="B868">
        <v>47186.74</v>
      </c>
      <c r="C868">
        <v>38112.730000000003</v>
      </c>
      <c r="D868" s="1">
        <v>43674</v>
      </c>
      <c r="E868" t="s">
        <v>29</v>
      </c>
      <c r="F868" t="s">
        <v>302</v>
      </c>
      <c r="G868" t="s">
        <v>25</v>
      </c>
      <c r="H868" t="s">
        <v>52</v>
      </c>
      <c r="I868" t="s">
        <v>27</v>
      </c>
      <c r="J868" t="s">
        <v>1027</v>
      </c>
    </row>
    <row r="869" spans="1:10" x14ac:dyDescent="0.3">
      <c r="A869" t="s">
        <v>22</v>
      </c>
      <c r="B869">
        <v>148037.71</v>
      </c>
      <c r="C869">
        <v>117867.62</v>
      </c>
      <c r="D869" s="1">
        <v>43935</v>
      </c>
      <c r="E869" t="s">
        <v>29</v>
      </c>
      <c r="F869" t="s">
        <v>45</v>
      </c>
      <c r="G869" t="s">
        <v>25</v>
      </c>
      <c r="H869" t="s">
        <v>26</v>
      </c>
      <c r="I869" t="s">
        <v>27</v>
      </c>
      <c r="J869" t="s">
        <v>1028</v>
      </c>
    </row>
    <row r="870" spans="1:10" x14ac:dyDescent="0.3">
      <c r="A870" t="s">
        <v>129</v>
      </c>
      <c r="C870">
        <v>205674.91</v>
      </c>
      <c r="D870" s="1">
        <v>44188</v>
      </c>
      <c r="E870" t="s">
        <v>40</v>
      </c>
      <c r="F870" t="s">
        <v>106</v>
      </c>
      <c r="G870" t="s">
        <v>130</v>
      </c>
      <c r="H870" t="s">
        <v>159</v>
      </c>
      <c r="I870" t="s">
        <v>27</v>
      </c>
      <c r="J870" t="s">
        <v>1029</v>
      </c>
    </row>
    <row r="871" spans="1:10" x14ac:dyDescent="0.3">
      <c r="A871" t="s">
        <v>22</v>
      </c>
      <c r="B871">
        <v>137419.29999999999</v>
      </c>
      <c r="C871">
        <v>117658.4</v>
      </c>
      <c r="D871" s="1">
        <v>43966</v>
      </c>
      <c r="E871" t="s">
        <v>11</v>
      </c>
      <c r="F871" t="s">
        <v>434</v>
      </c>
      <c r="G871" t="s">
        <v>25</v>
      </c>
      <c r="H871" t="s">
        <v>167</v>
      </c>
      <c r="I871" t="s">
        <v>32</v>
      </c>
      <c r="J871" t="s">
        <v>1030</v>
      </c>
    </row>
    <row r="872" spans="1:10" x14ac:dyDescent="0.3">
      <c r="A872" t="s">
        <v>10</v>
      </c>
      <c r="B872">
        <v>177867.3</v>
      </c>
      <c r="C872">
        <v>140675.25</v>
      </c>
      <c r="D872" s="1">
        <v>43900</v>
      </c>
      <c r="E872" t="s">
        <v>51</v>
      </c>
      <c r="F872" t="s">
        <v>373</v>
      </c>
      <c r="G872" t="s">
        <v>13</v>
      </c>
      <c r="H872" t="s">
        <v>81</v>
      </c>
      <c r="I872" t="s">
        <v>27</v>
      </c>
      <c r="J872" t="s">
        <v>1031</v>
      </c>
    </row>
    <row r="873" spans="1:10" x14ac:dyDescent="0.3">
      <c r="A873" t="s">
        <v>22</v>
      </c>
      <c r="B873">
        <v>25834.34</v>
      </c>
      <c r="C873">
        <v>22450.04</v>
      </c>
      <c r="D873" s="1">
        <v>43903</v>
      </c>
      <c r="E873" t="s">
        <v>29</v>
      </c>
      <c r="F873" t="s">
        <v>45</v>
      </c>
      <c r="G873" t="s">
        <v>25</v>
      </c>
      <c r="H873" t="s">
        <v>87</v>
      </c>
      <c r="I873" t="s">
        <v>32</v>
      </c>
      <c r="J873" t="s">
        <v>1032</v>
      </c>
    </row>
    <row r="874" spans="1:10" x14ac:dyDescent="0.3">
      <c r="A874" t="s">
        <v>143</v>
      </c>
      <c r="B874">
        <v>127143.54</v>
      </c>
      <c r="C874">
        <v>105033.28</v>
      </c>
      <c r="D874" s="1">
        <v>43534</v>
      </c>
      <c r="E874" t="s">
        <v>29</v>
      </c>
      <c r="F874" t="s">
        <v>300</v>
      </c>
      <c r="G874" t="s">
        <v>145</v>
      </c>
      <c r="H874" t="s">
        <v>206</v>
      </c>
      <c r="I874" t="s">
        <v>27</v>
      </c>
      <c r="J874" t="s">
        <v>1033</v>
      </c>
    </row>
    <row r="875" spans="1:10" x14ac:dyDescent="0.3">
      <c r="A875" t="s">
        <v>10</v>
      </c>
      <c r="B875">
        <v>166507.76</v>
      </c>
      <c r="C875">
        <v>143896.01</v>
      </c>
      <c r="D875" s="1">
        <v>44070</v>
      </c>
      <c r="E875" t="s">
        <v>55</v>
      </c>
      <c r="F875" t="s">
        <v>41</v>
      </c>
      <c r="G875" t="s">
        <v>13</v>
      </c>
      <c r="H875" t="s">
        <v>72</v>
      </c>
      <c r="I875" t="s">
        <v>27</v>
      </c>
      <c r="J875" t="s">
        <v>1034</v>
      </c>
    </row>
    <row r="876" spans="1:10" x14ac:dyDescent="0.3">
      <c r="A876" t="s">
        <v>129</v>
      </c>
      <c r="B876">
        <v>125851.79</v>
      </c>
      <c r="C876">
        <v>103777.39</v>
      </c>
      <c r="D876" s="1">
        <v>44150</v>
      </c>
      <c r="E876" t="s">
        <v>11</v>
      </c>
      <c r="F876" t="s">
        <v>269</v>
      </c>
      <c r="G876" t="s">
        <v>130</v>
      </c>
      <c r="H876" t="s">
        <v>131</v>
      </c>
      <c r="I876" t="s">
        <v>27</v>
      </c>
      <c r="J876" t="s">
        <v>1035</v>
      </c>
    </row>
    <row r="877" spans="1:10" x14ac:dyDescent="0.3">
      <c r="A877" t="s">
        <v>151</v>
      </c>
      <c r="B877">
        <v>117288.29</v>
      </c>
      <c r="C877">
        <v>94546.09</v>
      </c>
      <c r="D877" s="1">
        <v>43562</v>
      </c>
      <c r="E877" t="s">
        <v>40</v>
      </c>
      <c r="F877" t="s">
        <v>56</v>
      </c>
      <c r="G877" t="s">
        <v>152</v>
      </c>
      <c r="H877" t="s">
        <v>153</v>
      </c>
      <c r="I877" t="s">
        <v>27</v>
      </c>
      <c r="J877" t="s">
        <v>1036</v>
      </c>
    </row>
    <row r="878" spans="1:10" x14ac:dyDescent="0.3">
      <c r="A878" t="s">
        <v>34</v>
      </c>
      <c r="B878">
        <v>121246.32</v>
      </c>
      <c r="C878">
        <v>104005.09</v>
      </c>
      <c r="D878" s="1">
        <v>43981</v>
      </c>
      <c r="E878" t="s">
        <v>91</v>
      </c>
      <c r="F878" t="s">
        <v>97</v>
      </c>
      <c r="G878" t="s">
        <v>36</v>
      </c>
      <c r="H878" t="s">
        <v>104</v>
      </c>
      <c r="I878" t="s">
        <v>27</v>
      </c>
      <c r="J878" t="s">
        <v>1037</v>
      </c>
    </row>
    <row r="879" spans="1:10" x14ac:dyDescent="0.3">
      <c r="A879" t="s">
        <v>216</v>
      </c>
      <c r="B879">
        <v>28787.17</v>
      </c>
      <c r="C879">
        <v>24610.15</v>
      </c>
      <c r="D879" s="1">
        <v>43624</v>
      </c>
      <c r="E879" t="s">
        <v>11</v>
      </c>
      <c r="F879" t="s">
        <v>211</v>
      </c>
      <c r="G879" t="s">
        <v>217</v>
      </c>
      <c r="H879" t="s">
        <v>218</v>
      </c>
      <c r="I879" t="s">
        <v>27</v>
      </c>
      <c r="J879" t="s">
        <v>1038</v>
      </c>
    </row>
    <row r="880" spans="1:10" x14ac:dyDescent="0.3">
      <c r="A880" t="s">
        <v>17</v>
      </c>
      <c r="B880">
        <v>36276.11</v>
      </c>
      <c r="C880">
        <v>28748.82</v>
      </c>
      <c r="D880" s="1">
        <v>43547</v>
      </c>
      <c r="E880" t="s">
        <v>11</v>
      </c>
      <c r="F880" t="s">
        <v>56</v>
      </c>
      <c r="G880" t="s">
        <v>19</v>
      </c>
      <c r="H880" t="s">
        <v>157</v>
      </c>
      <c r="I880" t="s">
        <v>27</v>
      </c>
      <c r="J880" t="s">
        <v>1039</v>
      </c>
    </row>
    <row r="881" spans="1:10" x14ac:dyDescent="0.3">
      <c r="A881" t="s">
        <v>22</v>
      </c>
      <c r="B881">
        <v>127631.89</v>
      </c>
      <c r="C881">
        <v>110963.17</v>
      </c>
      <c r="D881" s="1">
        <v>43793</v>
      </c>
      <c r="E881" t="s">
        <v>40</v>
      </c>
      <c r="F881" t="s">
        <v>156</v>
      </c>
      <c r="G881" t="s">
        <v>25</v>
      </c>
      <c r="H881" t="s">
        <v>26</v>
      </c>
      <c r="I881" t="s">
        <v>27</v>
      </c>
      <c r="J881" t="s">
        <v>1040</v>
      </c>
    </row>
    <row r="882" spans="1:10" x14ac:dyDescent="0.3">
      <c r="A882" t="s">
        <v>10</v>
      </c>
      <c r="B882">
        <v>118982.14</v>
      </c>
      <c r="C882">
        <v>95506.96</v>
      </c>
      <c r="D882" s="1">
        <v>43845</v>
      </c>
      <c r="E882" t="s">
        <v>40</v>
      </c>
      <c r="F882" t="s">
        <v>225</v>
      </c>
      <c r="G882" t="s">
        <v>13</v>
      </c>
      <c r="H882" t="s">
        <v>110</v>
      </c>
      <c r="I882" t="s">
        <v>32</v>
      </c>
      <c r="J882" t="s">
        <v>1041</v>
      </c>
    </row>
    <row r="883" spans="1:10" x14ac:dyDescent="0.3">
      <c r="A883" t="s">
        <v>10</v>
      </c>
      <c r="B883">
        <v>122273</v>
      </c>
      <c r="C883">
        <v>104531.19</v>
      </c>
      <c r="D883" s="1">
        <v>44013</v>
      </c>
      <c r="E883" t="s">
        <v>23</v>
      </c>
      <c r="F883" t="s">
        <v>164</v>
      </c>
      <c r="G883" t="s">
        <v>13</v>
      </c>
      <c r="H883" t="s">
        <v>110</v>
      </c>
      <c r="I883" t="s">
        <v>27</v>
      </c>
      <c r="J883" t="s">
        <v>1042</v>
      </c>
    </row>
    <row r="884" spans="1:10" x14ac:dyDescent="0.3">
      <c r="A884" t="s">
        <v>10</v>
      </c>
      <c r="B884">
        <v>127939.8</v>
      </c>
      <c r="C884">
        <v>112267.17</v>
      </c>
      <c r="D884" s="1">
        <v>43720</v>
      </c>
      <c r="E884" t="s">
        <v>40</v>
      </c>
      <c r="F884" t="s">
        <v>335</v>
      </c>
      <c r="G884" t="s">
        <v>13</v>
      </c>
      <c r="H884" t="s">
        <v>46</v>
      </c>
      <c r="I884" t="s">
        <v>27</v>
      </c>
      <c r="J884" t="s">
        <v>1043</v>
      </c>
    </row>
    <row r="885" spans="1:10" x14ac:dyDescent="0.3">
      <c r="A885" t="s">
        <v>22</v>
      </c>
      <c r="B885">
        <v>107716.72</v>
      </c>
      <c r="C885">
        <v>86679.64</v>
      </c>
      <c r="D885" s="1">
        <v>43848</v>
      </c>
      <c r="E885" t="s">
        <v>55</v>
      </c>
      <c r="F885" t="s">
        <v>60</v>
      </c>
      <c r="G885" t="s">
        <v>25</v>
      </c>
      <c r="H885" t="s">
        <v>87</v>
      </c>
      <c r="I885" t="s">
        <v>32</v>
      </c>
      <c r="J885" t="s">
        <v>1044</v>
      </c>
    </row>
    <row r="886" spans="1:10" x14ac:dyDescent="0.3">
      <c r="A886" t="s">
        <v>54</v>
      </c>
      <c r="B886">
        <v>80986.100000000006</v>
      </c>
      <c r="C886">
        <v>64124.79</v>
      </c>
      <c r="D886" s="1">
        <v>43508</v>
      </c>
      <c r="E886" t="s">
        <v>23</v>
      </c>
      <c r="F886" t="s">
        <v>92</v>
      </c>
      <c r="G886" t="s">
        <v>57</v>
      </c>
      <c r="H886" t="s">
        <v>58</v>
      </c>
      <c r="I886" t="s">
        <v>32</v>
      </c>
      <c r="J886" t="s">
        <v>1045</v>
      </c>
    </row>
    <row r="887" spans="1:10" x14ac:dyDescent="0.3">
      <c r="A887" t="s">
        <v>143</v>
      </c>
      <c r="B887">
        <v>61325.25</v>
      </c>
      <c r="C887">
        <v>49379.09</v>
      </c>
      <c r="D887" s="1">
        <v>44041</v>
      </c>
      <c r="E887" t="s">
        <v>76</v>
      </c>
      <c r="F887" t="s">
        <v>106</v>
      </c>
      <c r="G887" t="s">
        <v>145</v>
      </c>
      <c r="H887" t="s">
        <v>262</v>
      </c>
      <c r="I887" t="s">
        <v>15</v>
      </c>
      <c r="J887" t="s">
        <v>1046</v>
      </c>
    </row>
    <row r="888" spans="1:10" x14ac:dyDescent="0.3">
      <c r="A888" t="s">
        <v>22</v>
      </c>
      <c r="B888">
        <v>95387.89</v>
      </c>
      <c r="C888">
        <v>76195.850000000006</v>
      </c>
      <c r="D888" s="1">
        <v>44048</v>
      </c>
      <c r="E888" t="s">
        <v>91</v>
      </c>
      <c r="F888" t="s">
        <v>335</v>
      </c>
      <c r="G888" t="s">
        <v>25</v>
      </c>
      <c r="H888" t="s">
        <v>52</v>
      </c>
      <c r="I888" t="s">
        <v>27</v>
      </c>
      <c r="J888" t="s">
        <v>1047</v>
      </c>
    </row>
    <row r="889" spans="1:10" x14ac:dyDescent="0.3">
      <c r="A889" t="s">
        <v>22</v>
      </c>
      <c r="B889">
        <v>284298.56</v>
      </c>
      <c r="C889">
        <v>229656.38</v>
      </c>
      <c r="D889" s="1">
        <v>43897</v>
      </c>
      <c r="E889" t="s">
        <v>40</v>
      </c>
      <c r="F889" t="s">
        <v>292</v>
      </c>
      <c r="G889" t="s">
        <v>25</v>
      </c>
      <c r="H889" t="s">
        <v>26</v>
      </c>
      <c r="I889" t="s">
        <v>27</v>
      </c>
      <c r="J889" t="s">
        <v>1048</v>
      </c>
    </row>
    <row r="890" spans="1:10" x14ac:dyDescent="0.3">
      <c r="A890" t="s">
        <v>216</v>
      </c>
      <c r="B890">
        <v>118026.37</v>
      </c>
      <c r="C890">
        <v>99873.91</v>
      </c>
      <c r="D890" s="1">
        <v>43928</v>
      </c>
      <c r="E890" t="s">
        <v>23</v>
      </c>
      <c r="F890" t="s">
        <v>106</v>
      </c>
      <c r="G890" t="s">
        <v>217</v>
      </c>
      <c r="H890" t="s">
        <v>218</v>
      </c>
      <c r="I890" t="s">
        <v>27</v>
      </c>
      <c r="J890" t="s">
        <v>1049</v>
      </c>
    </row>
    <row r="891" spans="1:10" x14ac:dyDescent="0.3">
      <c r="A891" t="s">
        <v>17</v>
      </c>
      <c r="B891">
        <v>105464.41</v>
      </c>
      <c r="C891">
        <v>84761.75</v>
      </c>
      <c r="D891" s="1">
        <v>43704</v>
      </c>
      <c r="E891" t="s">
        <v>91</v>
      </c>
      <c r="F891" t="s">
        <v>308</v>
      </c>
      <c r="G891" t="s">
        <v>19</v>
      </c>
      <c r="H891" t="s">
        <v>49</v>
      </c>
      <c r="I891" t="s">
        <v>27</v>
      </c>
      <c r="J891" t="s">
        <v>1050</v>
      </c>
    </row>
    <row r="892" spans="1:10" x14ac:dyDescent="0.3">
      <c r="A892" t="s">
        <v>22</v>
      </c>
      <c r="B892">
        <v>123891.6</v>
      </c>
      <c r="C892">
        <v>104118.5</v>
      </c>
      <c r="D892" s="1">
        <v>43669</v>
      </c>
      <c r="E892" t="s">
        <v>11</v>
      </c>
      <c r="F892" t="s">
        <v>24</v>
      </c>
      <c r="G892" t="s">
        <v>25</v>
      </c>
      <c r="H892" t="s">
        <v>167</v>
      </c>
      <c r="I892" t="s">
        <v>27</v>
      </c>
      <c r="J892" t="s">
        <v>1051</v>
      </c>
    </row>
    <row r="893" spans="1:10" x14ac:dyDescent="0.3">
      <c r="A893" t="s">
        <v>151</v>
      </c>
      <c r="B893">
        <v>79375.17</v>
      </c>
      <c r="C893">
        <v>64532.01</v>
      </c>
      <c r="D893" s="1">
        <v>44076</v>
      </c>
      <c r="E893" t="s">
        <v>76</v>
      </c>
      <c r="F893" t="s">
        <v>106</v>
      </c>
      <c r="G893" t="s">
        <v>152</v>
      </c>
      <c r="H893" t="s">
        <v>197</v>
      </c>
      <c r="I893" t="s">
        <v>32</v>
      </c>
      <c r="J893" t="s">
        <v>1052</v>
      </c>
    </row>
    <row r="894" spans="1:10" x14ac:dyDescent="0.3">
      <c r="A894" t="s">
        <v>122</v>
      </c>
      <c r="B894">
        <v>128235.65</v>
      </c>
      <c r="C894">
        <v>103024.52</v>
      </c>
      <c r="D894" s="1">
        <v>44094</v>
      </c>
      <c r="E894" t="s">
        <v>91</v>
      </c>
      <c r="F894" t="s">
        <v>92</v>
      </c>
      <c r="G894" t="s">
        <v>123</v>
      </c>
      <c r="H894" t="s">
        <v>254</v>
      </c>
      <c r="I894" t="s">
        <v>27</v>
      </c>
      <c r="J894" t="s">
        <v>1053</v>
      </c>
    </row>
    <row r="895" spans="1:10" x14ac:dyDescent="0.3">
      <c r="A895" t="s">
        <v>10</v>
      </c>
      <c r="B895">
        <v>121292.94</v>
      </c>
      <c r="C895">
        <v>104384.7</v>
      </c>
      <c r="D895" s="1">
        <v>43547</v>
      </c>
      <c r="E895" t="s">
        <v>76</v>
      </c>
      <c r="F895" t="s">
        <v>35</v>
      </c>
      <c r="G895" t="s">
        <v>13</v>
      </c>
      <c r="H895" t="s">
        <v>14</v>
      </c>
      <c r="I895" t="s">
        <v>27</v>
      </c>
      <c r="J895" t="s">
        <v>1054</v>
      </c>
    </row>
    <row r="896" spans="1:10" x14ac:dyDescent="0.3">
      <c r="A896" t="s">
        <v>17</v>
      </c>
      <c r="B896">
        <v>254021.98</v>
      </c>
      <c r="C896">
        <v>205605.39</v>
      </c>
      <c r="D896" s="1">
        <v>43531</v>
      </c>
      <c r="E896" t="s">
        <v>40</v>
      </c>
      <c r="F896" t="s">
        <v>211</v>
      </c>
      <c r="G896" t="s">
        <v>19</v>
      </c>
      <c r="H896" t="s">
        <v>78</v>
      </c>
      <c r="I896" t="s">
        <v>27</v>
      </c>
      <c r="J896" t="s">
        <v>1055</v>
      </c>
    </row>
    <row r="897" spans="1:10" x14ac:dyDescent="0.3">
      <c r="A897" t="s">
        <v>17</v>
      </c>
      <c r="B897">
        <v>154950.74</v>
      </c>
      <c r="C897">
        <v>133195.66</v>
      </c>
      <c r="D897" s="1">
        <v>43718</v>
      </c>
      <c r="E897" t="s">
        <v>51</v>
      </c>
      <c r="F897" t="s">
        <v>80</v>
      </c>
      <c r="G897" t="s">
        <v>19</v>
      </c>
      <c r="H897" t="s">
        <v>31</v>
      </c>
      <c r="I897" t="s">
        <v>15</v>
      </c>
      <c r="J897" t="s">
        <v>1056</v>
      </c>
    </row>
    <row r="898" spans="1:10" x14ac:dyDescent="0.3">
      <c r="A898" t="s">
        <v>22</v>
      </c>
      <c r="B898">
        <v>165305.70000000001</v>
      </c>
      <c r="C898">
        <v>134757.21</v>
      </c>
      <c r="D898" s="1">
        <v>43659</v>
      </c>
      <c r="E898" t="s">
        <v>11</v>
      </c>
      <c r="F898" t="s">
        <v>222</v>
      </c>
      <c r="G898" t="s">
        <v>25</v>
      </c>
      <c r="H898" t="s">
        <v>52</v>
      </c>
      <c r="I898" t="s">
        <v>27</v>
      </c>
      <c r="J898" t="s">
        <v>1057</v>
      </c>
    </row>
    <row r="899" spans="1:10" x14ac:dyDescent="0.3">
      <c r="A899" t="s">
        <v>17</v>
      </c>
      <c r="B899">
        <v>49374.25</v>
      </c>
      <c r="C899">
        <v>39208.089999999997</v>
      </c>
      <c r="D899" s="1">
        <v>43606</v>
      </c>
      <c r="E899" t="s">
        <v>91</v>
      </c>
      <c r="F899" t="s">
        <v>292</v>
      </c>
      <c r="G899" t="s">
        <v>19</v>
      </c>
      <c r="H899" t="s">
        <v>157</v>
      </c>
      <c r="I899" t="s">
        <v>27</v>
      </c>
      <c r="J899" t="s">
        <v>1058</v>
      </c>
    </row>
    <row r="900" spans="1:10" x14ac:dyDescent="0.3">
      <c r="A900" t="s">
        <v>10</v>
      </c>
      <c r="B900">
        <v>169810.63</v>
      </c>
      <c r="C900">
        <v>145952.24</v>
      </c>
      <c r="D900" s="1">
        <v>44163</v>
      </c>
      <c r="E900" t="s">
        <v>51</v>
      </c>
      <c r="F900" t="s">
        <v>156</v>
      </c>
      <c r="G900" t="s">
        <v>13</v>
      </c>
      <c r="H900" t="s">
        <v>110</v>
      </c>
      <c r="I900" t="s">
        <v>27</v>
      </c>
      <c r="J900" t="s">
        <v>1059</v>
      </c>
    </row>
    <row r="901" spans="1:10" x14ac:dyDescent="0.3">
      <c r="A901" t="s">
        <v>34</v>
      </c>
      <c r="B901">
        <v>47082.67</v>
      </c>
      <c r="C901">
        <v>37882.720000000001</v>
      </c>
      <c r="D901" s="1">
        <v>44012</v>
      </c>
      <c r="E901" t="s">
        <v>11</v>
      </c>
      <c r="F901" t="s">
        <v>156</v>
      </c>
      <c r="G901" t="s">
        <v>36</v>
      </c>
      <c r="H901" t="s">
        <v>104</v>
      </c>
      <c r="I901" t="s">
        <v>27</v>
      </c>
      <c r="J901" t="s">
        <v>1060</v>
      </c>
    </row>
    <row r="902" spans="1:10" x14ac:dyDescent="0.3">
      <c r="A902" t="s">
        <v>22</v>
      </c>
      <c r="B902">
        <v>81458.94</v>
      </c>
      <c r="C902">
        <v>64434.02</v>
      </c>
      <c r="D902" s="1">
        <v>43783</v>
      </c>
      <c r="E902" t="s">
        <v>91</v>
      </c>
      <c r="F902" t="s">
        <v>56</v>
      </c>
      <c r="G902" t="s">
        <v>25</v>
      </c>
      <c r="H902" t="s">
        <v>52</v>
      </c>
      <c r="I902" t="s">
        <v>27</v>
      </c>
      <c r="J902" t="s">
        <v>1061</v>
      </c>
    </row>
    <row r="903" spans="1:10" x14ac:dyDescent="0.3">
      <c r="A903" t="s">
        <v>34</v>
      </c>
      <c r="B903">
        <v>128112.26</v>
      </c>
      <c r="C903">
        <v>104975.19</v>
      </c>
      <c r="D903" s="1">
        <v>44086</v>
      </c>
      <c r="E903" t="s">
        <v>91</v>
      </c>
      <c r="F903" t="s">
        <v>106</v>
      </c>
      <c r="G903" t="s">
        <v>36</v>
      </c>
      <c r="H903" t="s">
        <v>93</v>
      </c>
      <c r="I903" t="s">
        <v>27</v>
      </c>
      <c r="J903" t="s">
        <v>1062</v>
      </c>
    </row>
    <row r="904" spans="1:10" x14ac:dyDescent="0.3">
      <c r="A904" t="s">
        <v>10</v>
      </c>
      <c r="B904">
        <v>30975.79</v>
      </c>
      <c r="C904">
        <v>27072.84</v>
      </c>
      <c r="D904" s="1">
        <v>43905</v>
      </c>
      <c r="E904" t="s">
        <v>40</v>
      </c>
      <c r="F904" t="s">
        <v>139</v>
      </c>
      <c r="G904" t="s">
        <v>13</v>
      </c>
      <c r="H904" t="s">
        <v>14</v>
      </c>
      <c r="I904" t="s">
        <v>27</v>
      </c>
      <c r="J904" t="s">
        <v>1063</v>
      </c>
    </row>
    <row r="905" spans="1:10" x14ac:dyDescent="0.3">
      <c r="A905" t="s">
        <v>22</v>
      </c>
      <c r="B905">
        <v>45256.74</v>
      </c>
      <c r="C905">
        <v>38975.1</v>
      </c>
      <c r="D905" s="1">
        <v>43479</v>
      </c>
      <c r="E905" t="s">
        <v>99</v>
      </c>
      <c r="F905" t="s">
        <v>102</v>
      </c>
      <c r="G905" t="s">
        <v>25</v>
      </c>
      <c r="H905" t="s">
        <v>167</v>
      </c>
      <c r="I905" t="s">
        <v>27</v>
      </c>
      <c r="J905" t="s">
        <v>1064</v>
      </c>
    </row>
    <row r="906" spans="1:10" x14ac:dyDescent="0.3">
      <c r="A906" t="s">
        <v>17</v>
      </c>
      <c r="B906">
        <v>72749.070000000007</v>
      </c>
      <c r="C906">
        <v>59108.62</v>
      </c>
      <c r="D906" s="1">
        <v>43485</v>
      </c>
      <c r="E906" t="s">
        <v>51</v>
      </c>
      <c r="F906" t="s">
        <v>56</v>
      </c>
      <c r="G906" t="s">
        <v>19</v>
      </c>
      <c r="H906" t="s">
        <v>20</v>
      </c>
      <c r="I906" t="s">
        <v>27</v>
      </c>
      <c r="J906" t="s">
        <v>1065</v>
      </c>
    </row>
    <row r="907" spans="1:10" x14ac:dyDescent="0.3">
      <c r="A907" t="s">
        <v>34</v>
      </c>
      <c r="B907">
        <v>150313.19</v>
      </c>
      <c r="C907">
        <v>118927.8</v>
      </c>
      <c r="D907" s="1">
        <v>43853</v>
      </c>
      <c r="E907" t="s">
        <v>76</v>
      </c>
      <c r="F907" t="s">
        <v>56</v>
      </c>
      <c r="G907" t="s">
        <v>36</v>
      </c>
      <c r="H907" t="s">
        <v>93</v>
      </c>
      <c r="I907" t="s">
        <v>27</v>
      </c>
      <c r="J907" t="s">
        <v>1066</v>
      </c>
    </row>
    <row r="908" spans="1:10" x14ac:dyDescent="0.3">
      <c r="A908" t="s">
        <v>10</v>
      </c>
      <c r="B908">
        <v>36785.279999999999</v>
      </c>
      <c r="C908">
        <v>30546.5</v>
      </c>
      <c r="D908" s="1">
        <v>43708</v>
      </c>
      <c r="E908" t="s">
        <v>23</v>
      </c>
      <c r="F908" t="s">
        <v>56</v>
      </c>
      <c r="G908" t="s">
        <v>13</v>
      </c>
      <c r="H908" t="s">
        <v>81</v>
      </c>
      <c r="I908" t="s">
        <v>27</v>
      </c>
      <c r="J908" t="s">
        <v>1067</v>
      </c>
    </row>
    <row r="909" spans="1:10" x14ac:dyDescent="0.3">
      <c r="A909" t="s">
        <v>17</v>
      </c>
      <c r="B909">
        <v>35214.85</v>
      </c>
      <c r="C909">
        <v>27985.24</v>
      </c>
      <c r="D909" s="1">
        <v>43537</v>
      </c>
      <c r="E909" t="s">
        <v>29</v>
      </c>
      <c r="F909" t="s">
        <v>83</v>
      </c>
      <c r="G909" t="s">
        <v>19</v>
      </c>
      <c r="H909" t="s">
        <v>157</v>
      </c>
      <c r="I909" t="s">
        <v>27</v>
      </c>
      <c r="J909" t="s">
        <v>1068</v>
      </c>
    </row>
    <row r="910" spans="1:10" x14ac:dyDescent="0.3">
      <c r="A910" t="s">
        <v>143</v>
      </c>
      <c r="B910">
        <v>90926.92</v>
      </c>
      <c r="C910">
        <v>73050.69</v>
      </c>
      <c r="D910" s="1">
        <v>43914</v>
      </c>
      <c r="E910" t="s">
        <v>51</v>
      </c>
      <c r="F910" t="s">
        <v>227</v>
      </c>
      <c r="G910" t="s">
        <v>145</v>
      </c>
      <c r="H910" t="s">
        <v>146</v>
      </c>
      <c r="I910" t="s">
        <v>27</v>
      </c>
      <c r="J910" t="s">
        <v>1069</v>
      </c>
    </row>
    <row r="911" spans="1:10" x14ac:dyDescent="0.3">
      <c r="A911" t="s">
        <v>22</v>
      </c>
      <c r="B911">
        <v>37521.39</v>
      </c>
      <c r="C911">
        <v>29701.93</v>
      </c>
      <c r="D911" s="1">
        <v>43848</v>
      </c>
      <c r="E911" t="s">
        <v>76</v>
      </c>
      <c r="F911" t="s">
        <v>74</v>
      </c>
      <c r="G911" t="s">
        <v>25</v>
      </c>
      <c r="H911" t="s">
        <v>63</v>
      </c>
      <c r="I911" t="s">
        <v>27</v>
      </c>
      <c r="J911" t="s">
        <v>1070</v>
      </c>
    </row>
    <row r="912" spans="1:10" x14ac:dyDescent="0.3">
      <c r="A912" t="s">
        <v>17</v>
      </c>
      <c r="B912">
        <v>68173.22</v>
      </c>
      <c r="C912">
        <v>54040.91</v>
      </c>
      <c r="D912" s="1">
        <v>44149</v>
      </c>
      <c r="E912" t="s">
        <v>51</v>
      </c>
      <c r="F912" t="s">
        <v>244</v>
      </c>
      <c r="G912" t="s">
        <v>19</v>
      </c>
      <c r="H912" t="s">
        <v>20</v>
      </c>
      <c r="I912" t="s">
        <v>27</v>
      </c>
      <c r="J912" t="s">
        <v>1071</v>
      </c>
    </row>
    <row r="913" spans="1:10" x14ac:dyDescent="0.3">
      <c r="A913" t="s">
        <v>10</v>
      </c>
      <c r="B913">
        <v>88832.28</v>
      </c>
      <c r="C913">
        <v>71501.100000000006</v>
      </c>
      <c r="D913" s="1">
        <v>43822</v>
      </c>
      <c r="E913" t="s">
        <v>29</v>
      </c>
      <c r="F913" t="s">
        <v>300</v>
      </c>
      <c r="G913" t="s">
        <v>13</v>
      </c>
      <c r="H913" t="s">
        <v>14</v>
      </c>
      <c r="I913" t="s">
        <v>27</v>
      </c>
      <c r="J913" t="s">
        <v>1072</v>
      </c>
    </row>
    <row r="914" spans="1:10" x14ac:dyDescent="0.3">
      <c r="A914" t="s">
        <v>10</v>
      </c>
      <c r="B914">
        <v>159793.46</v>
      </c>
      <c r="C914">
        <v>139180.1</v>
      </c>
      <c r="D914" s="1">
        <v>43631</v>
      </c>
      <c r="E914" t="s">
        <v>51</v>
      </c>
      <c r="F914" t="s">
        <v>135</v>
      </c>
      <c r="G914" t="s">
        <v>13</v>
      </c>
      <c r="H914" t="s">
        <v>46</v>
      </c>
      <c r="I914" t="s">
        <v>15</v>
      </c>
      <c r="J914" t="s">
        <v>1073</v>
      </c>
    </row>
    <row r="915" spans="1:10" x14ac:dyDescent="0.3">
      <c r="A915" t="s">
        <v>22</v>
      </c>
      <c r="B915">
        <v>177208.76</v>
      </c>
      <c r="C915">
        <v>151779.29999999999</v>
      </c>
      <c r="D915" s="1">
        <v>43497</v>
      </c>
      <c r="E915" t="s">
        <v>23</v>
      </c>
      <c r="F915" t="s">
        <v>45</v>
      </c>
      <c r="G915" t="s">
        <v>25</v>
      </c>
      <c r="H915" t="s">
        <v>167</v>
      </c>
      <c r="I915" t="s">
        <v>32</v>
      </c>
      <c r="J915" t="s">
        <v>1074</v>
      </c>
    </row>
    <row r="916" spans="1:10" x14ac:dyDescent="0.3">
      <c r="A916" t="s">
        <v>17</v>
      </c>
      <c r="B916">
        <v>224626.25</v>
      </c>
      <c r="C916">
        <v>189988.88</v>
      </c>
      <c r="D916" s="1">
        <v>44033</v>
      </c>
      <c r="E916" t="s">
        <v>29</v>
      </c>
      <c r="F916" t="s">
        <v>222</v>
      </c>
      <c r="G916" t="s">
        <v>19</v>
      </c>
      <c r="H916" t="s">
        <v>157</v>
      </c>
      <c r="I916" t="s">
        <v>27</v>
      </c>
      <c r="J916" t="s">
        <v>1075</v>
      </c>
    </row>
    <row r="917" spans="1:10" x14ac:dyDescent="0.3">
      <c r="A917" t="s">
        <v>17</v>
      </c>
      <c r="B917">
        <v>89369</v>
      </c>
      <c r="C917">
        <v>72889.36</v>
      </c>
      <c r="D917" s="1">
        <v>43862</v>
      </c>
      <c r="E917" t="s">
        <v>51</v>
      </c>
      <c r="F917" t="s">
        <v>135</v>
      </c>
      <c r="G917" t="s">
        <v>19</v>
      </c>
      <c r="H917" t="s">
        <v>157</v>
      </c>
      <c r="I917" t="s">
        <v>27</v>
      </c>
      <c r="J917" t="s">
        <v>1076</v>
      </c>
    </row>
    <row r="918" spans="1:10" x14ac:dyDescent="0.3">
      <c r="A918" t="s">
        <v>17</v>
      </c>
      <c r="B918">
        <v>65254.5</v>
      </c>
      <c r="C918">
        <v>53919.79</v>
      </c>
      <c r="D918" s="1">
        <v>43633</v>
      </c>
      <c r="E918" t="s">
        <v>11</v>
      </c>
      <c r="F918" t="s">
        <v>149</v>
      </c>
      <c r="G918" t="s">
        <v>19</v>
      </c>
      <c r="H918" t="s">
        <v>78</v>
      </c>
      <c r="I918" t="s">
        <v>27</v>
      </c>
      <c r="J918" t="s">
        <v>1077</v>
      </c>
    </row>
    <row r="919" spans="1:10" x14ac:dyDescent="0.3">
      <c r="A919" t="s">
        <v>129</v>
      </c>
      <c r="B919">
        <v>62011.86</v>
      </c>
      <c r="C919">
        <v>49324.23</v>
      </c>
      <c r="D919" s="1">
        <v>43482</v>
      </c>
      <c r="E919" t="s">
        <v>76</v>
      </c>
      <c r="F919" t="s">
        <v>56</v>
      </c>
      <c r="G919" t="s">
        <v>130</v>
      </c>
      <c r="H919" t="s">
        <v>131</v>
      </c>
      <c r="I919" t="s">
        <v>15</v>
      </c>
      <c r="J919" t="s">
        <v>1078</v>
      </c>
    </row>
    <row r="920" spans="1:10" x14ac:dyDescent="0.3">
      <c r="A920" t="s">
        <v>10</v>
      </c>
      <c r="B920">
        <v>128208.95</v>
      </c>
      <c r="C920">
        <v>111746.92</v>
      </c>
      <c r="D920" s="1">
        <v>44043</v>
      </c>
      <c r="E920" t="s">
        <v>23</v>
      </c>
      <c r="F920" t="s">
        <v>174</v>
      </c>
      <c r="G920" t="s">
        <v>13</v>
      </c>
      <c r="H920" t="s">
        <v>46</v>
      </c>
      <c r="I920" t="s">
        <v>27</v>
      </c>
      <c r="J920" t="s">
        <v>1079</v>
      </c>
    </row>
    <row r="921" spans="1:10" x14ac:dyDescent="0.3">
      <c r="A921" t="s">
        <v>22</v>
      </c>
      <c r="B921">
        <v>136915.60999999999</v>
      </c>
      <c r="C921">
        <v>114790.05</v>
      </c>
      <c r="D921" s="1">
        <v>43922</v>
      </c>
      <c r="E921" t="s">
        <v>181</v>
      </c>
      <c r="F921" t="s">
        <v>106</v>
      </c>
      <c r="G921" t="s">
        <v>25</v>
      </c>
      <c r="H921" t="s">
        <v>52</v>
      </c>
      <c r="I921" t="s">
        <v>15</v>
      </c>
      <c r="J921" t="s">
        <v>1080</v>
      </c>
    </row>
    <row r="922" spans="1:10" x14ac:dyDescent="0.3">
      <c r="A922" t="s">
        <v>17</v>
      </c>
      <c r="B922">
        <v>159926.16</v>
      </c>
      <c r="C922">
        <v>126453.61</v>
      </c>
      <c r="D922" s="1">
        <v>44174</v>
      </c>
      <c r="E922" t="s">
        <v>76</v>
      </c>
      <c r="F922" t="s">
        <v>211</v>
      </c>
      <c r="G922" t="s">
        <v>19</v>
      </c>
      <c r="H922" t="s">
        <v>157</v>
      </c>
      <c r="I922" t="s">
        <v>32</v>
      </c>
      <c r="J922" t="s">
        <v>1081</v>
      </c>
    </row>
    <row r="923" spans="1:10" x14ac:dyDescent="0.3">
      <c r="A923" t="s">
        <v>34</v>
      </c>
      <c r="B923">
        <v>154715.49</v>
      </c>
      <c r="C923">
        <v>126572.74</v>
      </c>
      <c r="D923" s="1">
        <v>44127</v>
      </c>
      <c r="E923" t="s">
        <v>29</v>
      </c>
      <c r="F923" t="s">
        <v>195</v>
      </c>
      <c r="G923" t="s">
        <v>36</v>
      </c>
      <c r="H923" t="s">
        <v>37</v>
      </c>
      <c r="I923" t="s">
        <v>27</v>
      </c>
      <c r="J923" t="s">
        <v>1082</v>
      </c>
    </row>
    <row r="924" spans="1:10" x14ac:dyDescent="0.3">
      <c r="A924" t="s">
        <v>34</v>
      </c>
      <c r="B924">
        <v>81219.67</v>
      </c>
      <c r="C924">
        <v>70319.990000000005</v>
      </c>
      <c r="D924" s="1">
        <v>43971</v>
      </c>
      <c r="E924" t="s">
        <v>40</v>
      </c>
      <c r="F924" t="s">
        <v>106</v>
      </c>
      <c r="G924" t="s">
        <v>36</v>
      </c>
      <c r="H924" t="s">
        <v>37</v>
      </c>
      <c r="I924" t="s">
        <v>27</v>
      </c>
      <c r="J924" t="s">
        <v>1083</v>
      </c>
    </row>
    <row r="925" spans="1:10" x14ac:dyDescent="0.3">
      <c r="A925" t="s">
        <v>22</v>
      </c>
      <c r="B925">
        <v>251003.51</v>
      </c>
      <c r="C925">
        <v>214105.99</v>
      </c>
      <c r="D925" s="1">
        <v>43676</v>
      </c>
      <c r="E925" t="s">
        <v>40</v>
      </c>
      <c r="F925" t="s">
        <v>256</v>
      </c>
      <c r="G925" t="s">
        <v>25</v>
      </c>
      <c r="H925" t="s">
        <v>63</v>
      </c>
      <c r="I925" t="s">
        <v>27</v>
      </c>
      <c r="J925" t="s">
        <v>1084</v>
      </c>
    </row>
    <row r="926" spans="1:10" x14ac:dyDescent="0.3">
      <c r="A926" t="s">
        <v>54</v>
      </c>
      <c r="B926">
        <v>51407.3</v>
      </c>
      <c r="C926">
        <v>44292.53</v>
      </c>
      <c r="D926" s="1">
        <v>43501</v>
      </c>
      <c r="E926" t="s">
        <v>40</v>
      </c>
      <c r="F926" t="s">
        <v>97</v>
      </c>
      <c r="G926" t="s">
        <v>57</v>
      </c>
      <c r="H926" t="s">
        <v>58</v>
      </c>
      <c r="I926" t="s">
        <v>15</v>
      </c>
      <c r="J926" t="s">
        <v>1085</v>
      </c>
    </row>
    <row r="927" spans="1:10" x14ac:dyDescent="0.3">
      <c r="A927" t="s">
        <v>10</v>
      </c>
      <c r="B927">
        <v>79407.28</v>
      </c>
      <c r="C927">
        <v>64383.42</v>
      </c>
      <c r="D927" s="1">
        <v>44033</v>
      </c>
      <c r="E927" t="s">
        <v>55</v>
      </c>
      <c r="F927" t="s">
        <v>60</v>
      </c>
      <c r="G927" t="s">
        <v>13</v>
      </c>
      <c r="H927" t="s">
        <v>46</v>
      </c>
      <c r="I927" t="s">
        <v>27</v>
      </c>
      <c r="J927" t="s">
        <v>1086</v>
      </c>
    </row>
    <row r="928" spans="1:10" x14ac:dyDescent="0.3">
      <c r="A928" t="s">
        <v>34</v>
      </c>
      <c r="B928">
        <v>50689.19</v>
      </c>
      <c r="C928">
        <v>43597.77</v>
      </c>
      <c r="D928" s="1">
        <v>44153</v>
      </c>
      <c r="E928" t="s">
        <v>40</v>
      </c>
      <c r="F928" t="s">
        <v>135</v>
      </c>
      <c r="G928" t="s">
        <v>36</v>
      </c>
      <c r="H928" t="s">
        <v>93</v>
      </c>
      <c r="I928" t="s">
        <v>27</v>
      </c>
      <c r="J928" t="s">
        <v>1087</v>
      </c>
    </row>
    <row r="929" spans="1:10" x14ac:dyDescent="0.3">
      <c r="A929" t="s">
        <v>34</v>
      </c>
      <c r="B929">
        <v>178465.4</v>
      </c>
      <c r="C929">
        <v>156282.15</v>
      </c>
      <c r="D929" s="1">
        <v>43948</v>
      </c>
      <c r="E929" t="s">
        <v>55</v>
      </c>
      <c r="F929" t="s">
        <v>164</v>
      </c>
      <c r="G929" t="s">
        <v>36</v>
      </c>
      <c r="H929" t="s">
        <v>104</v>
      </c>
      <c r="I929" t="s">
        <v>27</v>
      </c>
      <c r="J929" t="s">
        <v>1088</v>
      </c>
    </row>
    <row r="930" spans="1:10" x14ac:dyDescent="0.3">
      <c r="A930" t="s">
        <v>22</v>
      </c>
      <c r="B930">
        <v>89600.45</v>
      </c>
      <c r="C930">
        <v>70811.240000000005</v>
      </c>
      <c r="D930" s="1">
        <v>43851</v>
      </c>
      <c r="E930" t="s">
        <v>11</v>
      </c>
      <c r="F930" t="s">
        <v>18</v>
      </c>
      <c r="G930" t="s">
        <v>25</v>
      </c>
      <c r="H930" t="s">
        <v>167</v>
      </c>
      <c r="I930" t="s">
        <v>27</v>
      </c>
      <c r="J930" t="s">
        <v>1089</v>
      </c>
    </row>
    <row r="931" spans="1:10" x14ac:dyDescent="0.3">
      <c r="A931" t="s">
        <v>17</v>
      </c>
      <c r="B931">
        <v>151855.04000000001</v>
      </c>
      <c r="C931">
        <v>129486.79</v>
      </c>
      <c r="D931" s="1">
        <v>43481</v>
      </c>
      <c r="E931" t="s">
        <v>29</v>
      </c>
      <c r="F931" t="s">
        <v>314</v>
      </c>
      <c r="G931" t="s">
        <v>19</v>
      </c>
      <c r="H931" t="s">
        <v>20</v>
      </c>
      <c r="I931" t="s">
        <v>27</v>
      </c>
      <c r="J931" t="s">
        <v>1090</v>
      </c>
    </row>
    <row r="932" spans="1:10" x14ac:dyDescent="0.3">
      <c r="A932" t="s">
        <v>17</v>
      </c>
      <c r="B932">
        <v>147055.1</v>
      </c>
      <c r="C932">
        <v>126114.45</v>
      </c>
      <c r="D932" s="1">
        <v>43570</v>
      </c>
      <c r="E932" t="s">
        <v>11</v>
      </c>
      <c r="F932" t="s">
        <v>74</v>
      </c>
      <c r="G932" t="s">
        <v>19</v>
      </c>
      <c r="H932" t="s">
        <v>31</v>
      </c>
      <c r="I932" t="s">
        <v>27</v>
      </c>
      <c r="J932" t="s">
        <v>1091</v>
      </c>
    </row>
    <row r="933" spans="1:10" x14ac:dyDescent="0.3">
      <c r="A933" t="s">
        <v>34</v>
      </c>
      <c r="B933">
        <v>29783.39</v>
      </c>
      <c r="C933">
        <v>23719.49</v>
      </c>
      <c r="D933" s="1">
        <v>43796</v>
      </c>
      <c r="E933" t="s">
        <v>91</v>
      </c>
      <c r="F933" t="s">
        <v>308</v>
      </c>
      <c r="G933" t="s">
        <v>36</v>
      </c>
      <c r="H933" t="s">
        <v>104</v>
      </c>
      <c r="I933" t="s">
        <v>27</v>
      </c>
      <c r="J933" t="s">
        <v>1092</v>
      </c>
    </row>
    <row r="934" spans="1:10" x14ac:dyDescent="0.3">
      <c r="A934" t="s">
        <v>22</v>
      </c>
      <c r="B934">
        <v>154072.89000000001</v>
      </c>
      <c r="C934">
        <v>121887.06</v>
      </c>
      <c r="D934" s="1">
        <v>44104</v>
      </c>
      <c r="E934" t="s">
        <v>76</v>
      </c>
      <c r="F934" t="s">
        <v>149</v>
      </c>
      <c r="G934" t="s">
        <v>25</v>
      </c>
      <c r="H934" t="s">
        <v>167</v>
      </c>
      <c r="I934" t="s">
        <v>27</v>
      </c>
      <c r="J934" t="s">
        <v>1093</v>
      </c>
    </row>
    <row r="935" spans="1:10" x14ac:dyDescent="0.3">
      <c r="A935" t="s">
        <v>122</v>
      </c>
      <c r="B935">
        <v>278731.90000000002</v>
      </c>
      <c r="C935">
        <v>221591.86</v>
      </c>
      <c r="D935" s="1">
        <v>43597</v>
      </c>
      <c r="E935" t="s">
        <v>23</v>
      </c>
      <c r="F935" t="s">
        <v>236</v>
      </c>
      <c r="G935" t="s">
        <v>123</v>
      </c>
      <c r="H935" t="s">
        <v>124</v>
      </c>
      <c r="I935" t="s">
        <v>27</v>
      </c>
      <c r="J935" t="s">
        <v>1094</v>
      </c>
    </row>
    <row r="936" spans="1:10" x14ac:dyDescent="0.3">
      <c r="A936" t="s">
        <v>17</v>
      </c>
      <c r="B936">
        <v>132235.46</v>
      </c>
      <c r="C936">
        <v>114132.43</v>
      </c>
      <c r="D936" s="1">
        <v>43836</v>
      </c>
      <c r="E936" t="s">
        <v>91</v>
      </c>
      <c r="F936" t="s">
        <v>109</v>
      </c>
      <c r="G936" t="s">
        <v>19</v>
      </c>
      <c r="H936" t="s">
        <v>157</v>
      </c>
      <c r="I936" t="s">
        <v>27</v>
      </c>
      <c r="J936" t="s">
        <v>1095</v>
      </c>
    </row>
    <row r="937" spans="1:10" x14ac:dyDescent="0.3">
      <c r="A937" t="s">
        <v>22</v>
      </c>
      <c r="B937">
        <v>118321.11</v>
      </c>
      <c r="C937">
        <v>94822.54</v>
      </c>
      <c r="D937" s="1">
        <v>44158</v>
      </c>
      <c r="E937" t="s">
        <v>29</v>
      </c>
      <c r="F937" t="s">
        <v>133</v>
      </c>
      <c r="G937" t="s">
        <v>25</v>
      </c>
      <c r="H937" t="s">
        <v>52</v>
      </c>
      <c r="I937" t="s">
        <v>15</v>
      </c>
      <c r="J937" t="s">
        <v>1096</v>
      </c>
    </row>
    <row r="938" spans="1:10" x14ac:dyDescent="0.3">
      <c r="A938" t="s">
        <v>17</v>
      </c>
      <c r="B938">
        <v>88977.22</v>
      </c>
      <c r="C938">
        <v>72534.23</v>
      </c>
      <c r="D938" s="1">
        <v>43900</v>
      </c>
      <c r="E938" t="s">
        <v>91</v>
      </c>
      <c r="F938" t="s">
        <v>95</v>
      </c>
      <c r="G938" t="s">
        <v>19</v>
      </c>
      <c r="H938" t="s">
        <v>157</v>
      </c>
      <c r="I938" t="s">
        <v>27</v>
      </c>
      <c r="J938" t="s">
        <v>1097</v>
      </c>
    </row>
    <row r="939" spans="1:10" x14ac:dyDescent="0.3">
      <c r="A939" t="s">
        <v>22</v>
      </c>
      <c r="B939">
        <v>204133.95</v>
      </c>
      <c r="C939">
        <v>167553.15</v>
      </c>
      <c r="D939" s="1">
        <v>43995</v>
      </c>
      <c r="E939" t="s">
        <v>11</v>
      </c>
      <c r="F939" t="s">
        <v>227</v>
      </c>
      <c r="G939" t="s">
        <v>25</v>
      </c>
      <c r="H939" t="s">
        <v>26</v>
      </c>
      <c r="I939" t="s">
        <v>27</v>
      </c>
      <c r="J939" t="s">
        <v>1098</v>
      </c>
    </row>
    <row r="940" spans="1:10" x14ac:dyDescent="0.3">
      <c r="A940" t="s">
        <v>34</v>
      </c>
      <c r="B940">
        <v>102000.57</v>
      </c>
      <c r="C940">
        <v>87261.49</v>
      </c>
      <c r="D940" s="1">
        <v>43907</v>
      </c>
      <c r="E940" t="s">
        <v>11</v>
      </c>
      <c r="F940" t="s">
        <v>95</v>
      </c>
      <c r="G940" t="s">
        <v>36</v>
      </c>
      <c r="H940" t="s">
        <v>37</v>
      </c>
      <c r="I940" t="s">
        <v>27</v>
      </c>
      <c r="J940" t="s">
        <v>1099</v>
      </c>
    </row>
    <row r="941" spans="1:10" x14ac:dyDescent="0.3">
      <c r="A941" t="s">
        <v>10</v>
      </c>
      <c r="B941">
        <v>115226.8</v>
      </c>
      <c r="C941">
        <v>94336.18</v>
      </c>
      <c r="D941" s="1">
        <v>43600</v>
      </c>
      <c r="E941" t="s">
        <v>76</v>
      </c>
      <c r="F941" t="s">
        <v>18</v>
      </c>
      <c r="G941" t="s">
        <v>13</v>
      </c>
      <c r="H941" t="s">
        <v>14</v>
      </c>
      <c r="I941" t="s">
        <v>27</v>
      </c>
      <c r="J941" t="s">
        <v>1100</v>
      </c>
    </row>
    <row r="942" spans="1:10" x14ac:dyDescent="0.3">
      <c r="A942" t="s">
        <v>17</v>
      </c>
      <c r="B942">
        <v>49664.17</v>
      </c>
      <c r="C942">
        <v>39244.629999999997</v>
      </c>
      <c r="D942" s="1">
        <v>43768</v>
      </c>
      <c r="E942" t="s">
        <v>91</v>
      </c>
      <c r="F942" t="s">
        <v>135</v>
      </c>
      <c r="G942" t="s">
        <v>19</v>
      </c>
      <c r="H942" t="s">
        <v>20</v>
      </c>
      <c r="I942" t="s">
        <v>27</v>
      </c>
      <c r="J942" t="s">
        <v>1101</v>
      </c>
    </row>
    <row r="943" spans="1:10" x14ac:dyDescent="0.3">
      <c r="A943" t="s">
        <v>10</v>
      </c>
      <c r="B943">
        <v>35354.22</v>
      </c>
      <c r="C943">
        <v>30517.759999999998</v>
      </c>
      <c r="D943" s="1">
        <v>43523</v>
      </c>
      <c r="E943" t="s">
        <v>51</v>
      </c>
      <c r="F943" t="s">
        <v>92</v>
      </c>
      <c r="G943" t="s">
        <v>13</v>
      </c>
      <c r="H943" t="s">
        <v>110</v>
      </c>
      <c r="I943" t="s">
        <v>27</v>
      </c>
      <c r="J943" t="s">
        <v>1102</v>
      </c>
    </row>
    <row r="944" spans="1:10" x14ac:dyDescent="0.3">
      <c r="A944" t="s">
        <v>17</v>
      </c>
      <c r="B944">
        <v>128804.51</v>
      </c>
      <c r="C944">
        <v>105709.86</v>
      </c>
      <c r="D944" s="1">
        <v>43721</v>
      </c>
      <c r="E944" t="s">
        <v>23</v>
      </c>
      <c r="F944" t="s">
        <v>48</v>
      </c>
      <c r="G944" t="s">
        <v>19</v>
      </c>
      <c r="H944" t="s">
        <v>20</v>
      </c>
      <c r="I944" t="s">
        <v>15</v>
      </c>
      <c r="J944" t="s">
        <v>1103</v>
      </c>
    </row>
    <row r="945" spans="1:10" x14ac:dyDescent="0.3">
      <c r="A945" t="s">
        <v>17</v>
      </c>
      <c r="B945">
        <v>107499.78</v>
      </c>
      <c r="C945">
        <v>91364.06</v>
      </c>
      <c r="D945" s="1">
        <v>43522</v>
      </c>
      <c r="E945" t="s">
        <v>51</v>
      </c>
      <c r="F945" t="s">
        <v>149</v>
      </c>
      <c r="G945" t="s">
        <v>19</v>
      </c>
      <c r="H945" t="s">
        <v>20</v>
      </c>
      <c r="I945" t="s">
        <v>27</v>
      </c>
      <c r="J945" t="s">
        <v>1104</v>
      </c>
    </row>
    <row r="946" spans="1:10" x14ac:dyDescent="0.3">
      <c r="A946" t="s">
        <v>10</v>
      </c>
      <c r="B946">
        <v>50646.66</v>
      </c>
      <c r="C946">
        <v>43039.53</v>
      </c>
      <c r="D946" s="1">
        <v>43834</v>
      </c>
      <c r="E946" t="s">
        <v>40</v>
      </c>
      <c r="F946" t="s">
        <v>56</v>
      </c>
      <c r="G946" t="s">
        <v>13</v>
      </c>
      <c r="H946" t="s">
        <v>72</v>
      </c>
      <c r="I946" t="s">
        <v>27</v>
      </c>
      <c r="J946" t="s">
        <v>1105</v>
      </c>
    </row>
    <row r="947" spans="1:10" x14ac:dyDescent="0.3">
      <c r="A947" t="s">
        <v>122</v>
      </c>
      <c r="B947">
        <v>103874.1</v>
      </c>
      <c r="C947">
        <v>82112.479999999996</v>
      </c>
      <c r="D947" s="1">
        <v>43479</v>
      </c>
      <c r="E947" t="s">
        <v>181</v>
      </c>
      <c r="F947" t="s">
        <v>56</v>
      </c>
      <c r="G947" t="s">
        <v>123</v>
      </c>
      <c r="H947" t="s">
        <v>254</v>
      </c>
      <c r="I947" t="s">
        <v>27</v>
      </c>
      <c r="J947" t="s">
        <v>1106</v>
      </c>
    </row>
    <row r="948" spans="1:10" x14ac:dyDescent="0.3">
      <c r="A948" t="s">
        <v>34</v>
      </c>
      <c r="B948">
        <v>128227.36</v>
      </c>
      <c r="C948">
        <v>106710.81</v>
      </c>
      <c r="D948" s="1">
        <v>43471</v>
      </c>
      <c r="E948" t="s">
        <v>55</v>
      </c>
      <c r="F948" t="s">
        <v>300</v>
      </c>
      <c r="G948" t="s">
        <v>36</v>
      </c>
      <c r="H948" t="s">
        <v>93</v>
      </c>
      <c r="I948" t="s">
        <v>27</v>
      </c>
      <c r="J948" t="s">
        <v>1107</v>
      </c>
    </row>
    <row r="949" spans="1:10" x14ac:dyDescent="0.3">
      <c r="A949" t="s">
        <v>17</v>
      </c>
      <c r="B949">
        <v>140635.94</v>
      </c>
      <c r="C949">
        <v>115194.9</v>
      </c>
      <c r="D949" s="1">
        <v>44055</v>
      </c>
      <c r="E949" t="s">
        <v>51</v>
      </c>
      <c r="F949" t="s">
        <v>56</v>
      </c>
      <c r="G949" t="s">
        <v>19</v>
      </c>
      <c r="H949" t="s">
        <v>20</v>
      </c>
      <c r="I949" t="s">
        <v>27</v>
      </c>
      <c r="J949" t="s">
        <v>1108</v>
      </c>
    </row>
    <row r="950" spans="1:10" x14ac:dyDescent="0.3">
      <c r="A950" t="s">
        <v>10</v>
      </c>
      <c r="B950">
        <v>83782.11</v>
      </c>
      <c r="C950">
        <v>67310.55</v>
      </c>
      <c r="D950" s="1">
        <v>43740</v>
      </c>
      <c r="E950" t="s">
        <v>29</v>
      </c>
      <c r="F950" t="s">
        <v>222</v>
      </c>
      <c r="G950" t="s">
        <v>13</v>
      </c>
      <c r="H950" t="s">
        <v>72</v>
      </c>
      <c r="I950" t="s">
        <v>27</v>
      </c>
      <c r="J950" t="s">
        <v>1109</v>
      </c>
    </row>
    <row r="951" spans="1:10" x14ac:dyDescent="0.3">
      <c r="A951" t="s">
        <v>10</v>
      </c>
      <c r="B951">
        <v>162101.93</v>
      </c>
      <c r="C951">
        <v>133912.4</v>
      </c>
      <c r="D951" s="1">
        <v>43818</v>
      </c>
      <c r="E951" t="s">
        <v>51</v>
      </c>
      <c r="F951" t="s">
        <v>149</v>
      </c>
      <c r="G951" t="s">
        <v>13</v>
      </c>
      <c r="H951" t="s">
        <v>14</v>
      </c>
      <c r="I951" t="s">
        <v>27</v>
      </c>
      <c r="J951" t="s">
        <v>1110</v>
      </c>
    </row>
    <row r="952" spans="1:10" x14ac:dyDescent="0.3">
      <c r="A952" t="s">
        <v>34</v>
      </c>
      <c r="B952">
        <v>62947.82</v>
      </c>
      <c r="C952">
        <v>49967.98</v>
      </c>
      <c r="D952" s="1">
        <v>43754</v>
      </c>
      <c r="E952" t="s">
        <v>55</v>
      </c>
      <c r="F952" t="s">
        <v>156</v>
      </c>
      <c r="G952" t="s">
        <v>36</v>
      </c>
      <c r="H952" t="s">
        <v>37</v>
      </c>
      <c r="I952" t="s">
        <v>27</v>
      </c>
      <c r="J952" t="s">
        <v>1111</v>
      </c>
    </row>
    <row r="953" spans="1:10" x14ac:dyDescent="0.3">
      <c r="A953" t="s">
        <v>22</v>
      </c>
      <c r="B953">
        <v>238085.99</v>
      </c>
      <c r="C953">
        <v>193587.72</v>
      </c>
      <c r="D953" s="1">
        <v>44028</v>
      </c>
      <c r="E953" t="s">
        <v>40</v>
      </c>
      <c r="F953" t="s">
        <v>149</v>
      </c>
      <c r="G953" t="s">
        <v>25</v>
      </c>
      <c r="H953" t="s">
        <v>63</v>
      </c>
      <c r="I953" t="s">
        <v>27</v>
      </c>
      <c r="J953" t="s">
        <v>1112</v>
      </c>
    </row>
    <row r="954" spans="1:10" x14ac:dyDescent="0.3">
      <c r="A954" t="s">
        <v>151</v>
      </c>
      <c r="B954">
        <v>57107.26</v>
      </c>
      <c r="C954">
        <v>48232.79</v>
      </c>
      <c r="D954" s="1">
        <v>43874</v>
      </c>
      <c r="E954" t="s">
        <v>181</v>
      </c>
      <c r="F954" t="s">
        <v>97</v>
      </c>
      <c r="G954" t="s">
        <v>152</v>
      </c>
      <c r="H954" t="s">
        <v>197</v>
      </c>
      <c r="I954" t="s">
        <v>32</v>
      </c>
      <c r="J954" t="s">
        <v>1113</v>
      </c>
    </row>
    <row r="955" spans="1:10" x14ac:dyDescent="0.3">
      <c r="A955" t="s">
        <v>34</v>
      </c>
      <c r="B955">
        <v>133696.85999999999</v>
      </c>
      <c r="C955">
        <v>109310.55</v>
      </c>
      <c r="D955" s="1">
        <v>43857</v>
      </c>
      <c r="E955" t="s">
        <v>91</v>
      </c>
      <c r="F955" t="s">
        <v>256</v>
      </c>
      <c r="G955" t="s">
        <v>36</v>
      </c>
      <c r="H955" t="s">
        <v>104</v>
      </c>
      <c r="I955" t="s">
        <v>27</v>
      </c>
      <c r="J955" t="s">
        <v>1114</v>
      </c>
    </row>
    <row r="956" spans="1:10" x14ac:dyDescent="0.3">
      <c r="A956" t="s">
        <v>122</v>
      </c>
      <c r="B956">
        <v>65329.65</v>
      </c>
      <c r="C956">
        <v>53237.13</v>
      </c>
      <c r="D956" s="1">
        <v>43887</v>
      </c>
      <c r="E956" t="s">
        <v>40</v>
      </c>
      <c r="F956" t="s">
        <v>222</v>
      </c>
      <c r="G956" t="s">
        <v>123</v>
      </c>
      <c r="H956" t="s">
        <v>254</v>
      </c>
      <c r="I956" t="s">
        <v>32</v>
      </c>
      <c r="J956" t="s">
        <v>1115</v>
      </c>
    </row>
    <row r="957" spans="1:10" x14ac:dyDescent="0.3">
      <c r="A957" t="s">
        <v>34</v>
      </c>
      <c r="B957">
        <v>124414.74</v>
      </c>
      <c r="C957">
        <v>98959.48</v>
      </c>
      <c r="D957" s="1">
        <v>43629</v>
      </c>
      <c r="E957" t="s">
        <v>181</v>
      </c>
      <c r="F957" t="s">
        <v>41</v>
      </c>
      <c r="G957" t="s">
        <v>36</v>
      </c>
      <c r="H957" t="s">
        <v>104</v>
      </c>
      <c r="I957" t="s">
        <v>27</v>
      </c>
      <c r="J957" t="s">
        <v>1116</v>
      </c>
    </row>
    <row r="958" spans="1:10" x14ac:dyDescent="0.3">
      <c r="A958" t="s">
        <v>22</v>
      </c>
      <c r="B958">
        <v>48090.78</v>
      </c>
      <c r="C958">
        <v>42040.959999999999</v>
      </c>
      <c r="D958" s="1">
        <v>43909</v>
      </c>
      <c r="E958" t="s">
        <v>91</v>
      </c>
      <c r="F958" t="s">
        <v>80</v>
      </c>
      <c r="G958" t="s">
        <v>25</v>
      </c>
      <c r="H958" t="s">
        <v>26</v>
      </c>
      <c r="I958" t="s">
        <v>27</v>
      </c>
      <c r="J958" t="s">
        <v>1117</v>
      </c>
    </row>
    <row r="959" spans="1:10" x14ac:dyDescent="0.3">
      <c r="A959" t="s">
        <v>17</v>
      </c>
      <c r="B959">
        <v>214615.79</v>
      </c>
      <c r="C959">
        <v>177637.49</v>
      </c>
      <c r="D959" s="1">
        <v>43646</v>
      </c>
      <c r="E959" t="s">
        <v>11</v>
      </c>
      <c r="F959" t="s">
        <v>144</v>
      </c>
      <c r="G959" t="s">
        <v>19</v>
      </c>
      <c r="H959" t="s">
        <v>20</v>
      </c>
      <c r="I959" t="s">
        <v>27</v>
      </c>
      <c r="J959" t="s">
        <v>1118</v>
      </c>
    </row>
    <row r="960" spans="1:10" x14ac:dyDescent="0.3">
      <c r="A960" t="s">
        <v>10</v>
      </c>
      <c r="B960">
        <v>70596.7</v>
      </c>
      <c r="C960">
        <v>60564.91</v>
      </c>
      <c r="D960" s="1">
        <v>44076</v>
      </c>
      <c r="E960" t="s">
        <v>29</v>
      </c>
      <c r="F960" t="s">
        <v>256</v>
      </c>
      <c r="G960" t="s">
        <v>13</v>
      </c>
      <c r="H960" t="s">
        <v>46</v>
      </c>
      <c r="I960" t="s">
        <v>27</v>
      </c>
      <c r="J960" t="s">
        <v>1119</v>
      </c>
    </row>
    <row r="961" spans="1:10" x14ac:dyDescent="0.3">
      <c r="A961" t="s">
        <v>151</v>
      </c>
      <c r="B961">
        <v>114232.68</v>
      </c>
      <c r="C961">
        <v>95795.520000000004</v>
      </c>
      <c r="D961" s="1">
        <v>43547</v>
      </c>
      <c r="E961" t="s">
        <v>40</v>
      </c>
      <c r="F961" t="s">
        <v>56</v>
      </c>
      <c r="G961" t="s">
        <v>152</v>
      </c>
      <c r="H961" t="s">
        <v>197</v>
      </c>
      <c r="I961" t="s">
        <v>15</v>
      </c>
      <c r="J961" t="s">
        <v>1120</v>
      </c>
    </row>
    <row r="962" spans="1:10" x14ac:dyDescent="0.3">
      <c r="A962" t="s">
        <v>10</v>
      </c>
      <c r="B962">
        <v>45463.65</v>
      </c>
      <c r="C962">
        <v>36907.39</v>
      </c>
      <c r="D962" s="1">
        <v>44072</v>
      </c>
      <c r="E962" t="s">
        <v>40</v>
      </c>
      <c r="F962" t="s">
        <v>755</v>
      </c>
      <c r="G962" t="s">
        <v>13</v>
      </c>
      <c r="H962" t="s">
        <v>46</v>
      </c>
      <c r="I962" t="s">
        <v>27</v>
      </c>
      <c r="J962" t="s">
        <v>1121</v>
      </c>
    </row>
    <row r="963" spans="1:10" x14ac:dyDescent="0.3">
      <c r="A963" t="s">
        <v>216</v>
      </c>
      <c r="B963">
        <v>23290.84</v>
      </c>
      <c r="C963">
        <v>19147.400000000001</v>
      </c>
      <c r="D963" s="1">
        <v>43521</v>
      </c>
      <c r="E963" t="s">
        <v>29</v>
      </c>
      <c r="F963" t="s">
        <v>12</v>
      </c>
      <c r="G963" t="s">
        <v>217</v>
      </c>
      <c r="H963" t="s">
        <v>218</v>
      </c>
      <c r="I963" t="s">
        <v>27</v>
      </c>
      <c r="J963" t="s">
        <v>1122</v>
      </c>
    </row>
    <row r="964" spans="1:10" x14ac:dyDescent="0.3">
      <c r="A964" t="s">
        <v>22</v>
      </c>
      <c r="B964">
        <v>103279.79</v>
      </c>
      <c r="C964">
        <v>82334.649999999994</v>
      </c>
      <c r="D964" s="1">
        <v>44168</v>
      </c>
      <c r="E964" t="s">
        <v>23</v>
      </c>
      <c r="F964" t="s">
        <v>56</v>
      </c>
      <c r="G964" t="s">
        <v>25</v>
      </c>
      <c r="H964" t="s">
        <v>52</v>
      </c>
      <c r="I964" t="s">
        <v>27</v>
      </c>
      <c r="J964" t="s">
        <v>1123</v>
      </c>
    </row>
    <row r="965" spans="1:10" x14ac:dyDescent="0.3">
      <c r="A965" t="s">
        <v>66</v>
      </c>
      <c r="B965">
        <v>76426.539999999994</v>
      </c>
      <c r="C965">
        <v>66116.600000000006</v>
      </c>
      <c r="D965" s="1">
        <v>43540</v>
      </c>
      <c r="E965" t="s">
        <v>40</v>
      </c>
      <c r="F965" t="s">
        <v>67</v>
      </c>
      <c r="G965" t="s">
        <v>68</v>
      </c>
      <c r="H965" t="s">
        <v>69</v>
      </c>
      <c r="I965" t="s">
        <v>27</v>
      </c>
      <c r="J965" t="s">
        <v>1124</v>
      </c>
    </row>
    <row r="966" spans="1:10" x14ac:dyDescent="0.3">
      <c r="A966" t="s">
        <v>10</v>
      </c>
      <c r="B966">
        <v>167123.72</v>
      </c>
      <c r="C966">
        <v>132946.92000000001</v>
      </c>
      <c r="D966" s="1">
        <v>43473</v>
      </c>
      <c r="E966" t="s">
        <v>51</v>
      </c>
      <c r="F966" t="s">
        <v>24</v>
      </c>
      <c r="G966" t="s">
        <v>13</v>
      </c>
      <c r="H966" t="s">
        <v>46</v>
      </c>
      <c r="I966" t="s">
        <v>27</v>
      </c>
      <c r="J966" t="s">
        <v>1125</v>
      </c>
    </row>
    <row r="967" spans="1:10" x14ac:dyDescent="0.3">
      <c r="A967" t="s">
        <v>17</v>
      </c>
      <c r="B967">
        <v>95966.17</v>
      </c>
      <c r="C967">
        <v>75976.42</v>
      </c>
      <c r="D967" s="1">
        <v>43701</v>
      </c>
      <c r="E967" t="s">
        <v>29</v>
      </c>
      <c r="F967" t="s">
        <v>1126</v>
      </c>
      <c r="G967" t="s">
        <v>19</v>
      </c>
      <c r="H967" t="s">
        <v>20</v>
      </c>
      <c r="I967" t="s">
        <v>27</v>
      </c>
      <c r="J967" t="s">
        <v>1127</v>
      </c>
    </row>
    <row r="968" spans="1:10" x14ac:dyDescent="0.3">
      <c r="A968" t="s">
        <v>17</v>
      </c>
      <c r="B968">
        <v>268779.03000000003</v>
      </c>
      <c r="C968">
        <v>233676.49</v>
      </c>
      <c r="D968" s="1">
        <v>43826</v>
      </c>
      <c r="E968" t="s">
        <v>51</v>
      </c>
      <c r="F968" t="s">
        <v>67</v>
      </c>
      <c r="G968" t="s">
        <v>19</v>
      </c>
      <c r="H968" t="s">
        <v>157</v>
      </c>
      <c r="I968" t="s">
        <v>32</v>
      </c>
      <c r="J968" t="s">
        <v>1128</v>
      </c>
    </row>
    <row r="969" spans="1:10" x14ac:dyDescent="0.3">
      <c r="A969" t="s">
        <v>151</v>
      </c>
      <c r="B969">
        <v>226021.18</v>
      </c>
      <c r="C969">
        <v>180455.31</v>
      </c>
      <c r="D969" s="1">
        <v>43664</v>
      </c>
      <c r="E969" t="s">
        <v>55</v>
      </c>
      <c r="F969" t="s">
        <v>156</v>
      </c>
      <c r="G969" t="s">
        <v>152</v>
      </c>
      <c r="H969" t="s">
        <v>153</v>
      </c>
      <c r="I969" t="s">
        <v>27</v>
      </c>
      <c r="J969" t="s">
        <v>1129</v>
      </c>
    </row>
    <row r="970" spans="1:10" x14ac:dyDescent="0.3">
      <c r="A970" t="s">
        <v>17</v>
      </c>
      <c r="B970">
        <v>48850.38</v>
      </c>
      <c r="C970">
        <v>39788.629999999997</v>
      </c>
      <c r="D970" s="1">
        <v>43555</v>
      </c>
      <c r="E970" t="s">
        <v>23</v>
      </c>
      <c r="F970" t="s">
        <v>102</v>
      </c>
      <c r="G970" t="s">
        <v>19</v>
      </c>
      <c r="H970" t="s">
        <v>31</v>
      </c>
      <c r="I970" t="s">
        <v>27</v>
      </c>
      <c r="J970" t="s">
        <v>1130</v>
      </c>
    </row>
    <row r="971" spans="1:10" x14ac:dyDescent="0.3">
      <c r="A971" t="s">
        <v>10</v>
      </c>
      <c r="B971">
        <v>19930.04</v>
      </c>
      <c r="C971">
        <v>16543.93</v>
      </c>
      <c r="D971" s="1">
        <v>43711</v>
      </c>
      <c r="E971" t="s">
        <v>51</v>
      </c>
      <c r="F971" t="s">
        <v>56</v>
      </c>
      <c r="G971" t="s">
        <v>13</v>
      </c>
      <c r="H971" t="s">
        <v>81</v>
      </c>
      <c r="I971" t="s">
        <v>15</v>
      </c>
      <c r="J971" t="s">
        <v>1131</v>
      </c>
    </row>
    <row r="972" spans="1:10" x14ac:dyDescent="0.3">
      <c r="A972" t="s">
        <v>17</v>
      </c>
      <c r="B972">
        <v>40043.11</v>
      </c>
      <c r="C972">
        <v>35109.800000000003</v>
      </c>
      <c r="D972" s="1">
        <v>44021</v>
      </c>
      <c r="E972" t="s">
        <v>23</v>
      </c>
      <c r="F972" t="s">
        <v>164</v>
      </c>
      <c r="G972" t="s">
        <v>19</v>
      </c>
      <c r="H972" t="s">
        <v>157</v>
      </c>
      <c r="I972" t="s">
        <v>27</v>
      </c>
      <c r="J972" t="s">
        <v>1132</v>
      </c>
    </row>
    <row r="973" spans="1:10" x14ac:dyDescent="0.3">
      <c r="A973" t="s">
        <v>216</v>
      </c>
      <c r="C973">
        <v>14102.75</v>
      </c>
      <c r="D973" s="1">
        <v>44014</v>
      </c>
      <c r="E973" t="s">
        <v>40</v>
      </c>
      <c r="F973" t="s">
        <v>56</v>
      </c>
      <c r="G973" t="s">
        <v>217</v>
      </c>
      <c r="H973" t="s">
        <v>218</v>
      </c>
      <c r="I973" t="s">
        <v>27</v>
      </c>
      <c r="J973" t="s">
        <v>1133</v>
      </c>
    </row>
    <row r="974" spans="1:10" x14ac:dyDescent="0.3">
      <c r="A974" t="s">
        <v>54</v>
      </c>
      <c r="B974">
        <v>86669.23</v>
      </c>
      <c r="C974">
        <v>71580.12</v>
      </c>
      <c r="D974" s="1">
        <v>43908</v>
      </c>
      <c r="E974" t="s">
        <v>23</v>
      </c>
      <c r="F974" t="s">
        <v>106</v>
      </c>
      <c r="G974" t="s">
        <v>57</v>
      </c>
      <c r="H974" t="s">
        <v>58</v>
      </c>
      <c r="I974" t="s">
        <v>27</v>
      </c>
      <c r="J974" t="s">
        <v>1134</v>
      </c>
    </row>
    <row r="975" spans="1:10" x14ac:dyDescent="0.3">
      <c r="A975" t="s">
        <v>122</v>
      </c>
      <c r="B975">
        <v>98289.32</v>
      </c>
      <c r="C975">
        <v>84116</v>
      </c>
      <c r="D975" s="1">
        <v>43511</v>
      </c>
      <c r="E975" t="s">
        <v>23</v>
      </c>
      <c r="F975" t="s">
        <v>300</v>
      </c>
      <c r="G975" t="s">
        <v>123</v>
      </c>
      <c r="H975" t="s">
        <v>254</v>
      </c>
      <c r="J975" t="s">
        <v>1135</v>
      </c>
    </row>
    <row r="976" spans="1:10" x14ac:dyDescent="0.3">
      <c r="A976" t="s">
        <v>34</v>
      </c>
      <c r="B976">
        <v>105686.13</v>
      </c>
      <c r="C976">
        <v>86694.33</v>
      </c>
      <c r="D976" s="1">
        <v>43751</v>
      </c>
      <c r="E976" t="s">
        <v>181</v>
      </c>
      <c r="F976" t="s">
        <v>56</v>
      </c>
      <c r="G976" t="s">
        <v>36</v>
      </c>
      <c r="H976" t="s">
        <v>37</v>
      </c>
      <c r="I976" t="s">
        <v>27</v>
      </c>
      <c r="J976" t="s">
        <v>1136</v>
      </c>
    </row>
    <row r="977" spans="1:10" x14ac:dyDescent="0.3">
      <c r="A977" t="s">
        <v>122</v>
      </c>
      <c r="B977">
        <v>126582.5</v>
      </c>
      <c r="C977">
        <v>103683.73</v>
      </c>
      <c r="D977" s="1">
        <v>43878</v>
      </c>
      <c r="E977" t="s">
        <v>76</v>
      </c>
      <c r="F977" t="s">
        <v>149</v>
      </c>
      <c r="G977" t="s">
        <v>123</v>
      </c>
      <c r="H977" t="s">
        <v>124</v>
      </c>
      <c r="I977" t="s">
        <v>27</v>
      </c>
      <c r="J977" t="s">
        <v>1137</v>
      </c>
    </row>
    <row r="978" spans="1:10" x14ac:dyDescent="0.3">
      <c r="A978" t="s">
        <v>17</v>
      </c>
      <c r="B978">
        <v>53089.52</v>
      </c>
      <c r="C978">
        <v>44812.86</v>
      </c>
      <c r="D978" s="1">
        <v>43701</v>
      </c>
      <c r="E978" t="s">
        <v>76</v>
      </c>
      <c r="F978" t="s">
        <v>272</v>
      </c>
      <c r="G978" t="s">
        <v>19</v>
      </c>
      <c r="H978" t="s">
        <v>31</v>
      </c>
      <c r="I978" t="s">
        <v>27</v>
      </c>
      <c r="J978" t="s">
        <v>1138</v>
      </c>
    </row>
    <row r="979" spans="1:10" x14ac:dyDescent="0.3">
      <c r="A979" t="s">
        <v>10</v>
      </c>
      <c r="B979">
        <v>72885.55</v>
      </c>
      <c r="C979">
        <v>59773.440000000002</v>
      </c>
      <c r="D979" s="1">
        <v>44194</v>
      </c>
      <c r="E979" t="s">
        <v>40</v>
      </c>
      <c r="F979" t="s">
        <v>56</v>
      </c>
      <c r="G979" t="s">
        <v>13</v>
      </c>
      <c r="H979" t="s">
        <v>81</v>
      </c>
      <c r="I979" t="s">
        <v>27</v>
      </c>
      <c r="J979" t="s">
        <v>1139</v>
      </c>
    </row>
    <row r="980" spans="1:10" x14ac:dyDescent="0.3">
      <c r="A980" t="s">
        <v>22</v>
      </c>
      <c r="B980">
        <v>162246.76</v>
      </c>
      <c r="C980">
        <v>142663.57999999999</v>
      </c>
      <c r="D980" s="1">
        <v>43705</v>
      </c>
      <c r="E980" t="s">
        <v>11</v>
      </c>
      <c r="F980" t="s">
        <v>106</v>
      </c>
      <c r="G980" t="s">
        <v>25</v>
      </c>
      <c r="H980" t="s">
        <v>26</v>
      </c>
      <c r="I980" t="s">
        <v>27</v>
      </c>
      <c r="J980" t="s">
        <v>1140</v>
      </c>
    </row>
    <row r="981" spans="1:10" x14ac:dyDescent="0.3">
      <c r="A981" t="s">
        <v>22</v>
      </c>
      <c r="B981">
        <v>126346.44</v>
      </c>
      <c r="C981">
        <v>103970.49</v>
      </c>
      <c r="D981" s="1">
        <v>43681</v>
      </c>
      <c r="E981" t="s">
        <v>51</v>
      </c>
      <c r="F981" t="s">
        <v>56</v>
      </c>
      <c r="G981" t="s">
        <v>25</v>
      </c>
      <c r="H981" t="s">
        <v>26</v>
      </c>
      <c r="I981" t="s">
        <v>27</v>
      </c>
      <c r="J981" t="s">
        <v>1141</v>
      </c>
    </row>
    <row r="982" spans="1:10" x14ac:dyDescent="0.3">
      <c r="A982" t="s">
        <v>169</v>
      </c>
      <c r="B982">
        <v>248261.86</v>
      </c>
      <c r="C982">
        <v>206727.65</v>
      </c>
      <c r="D982" s="1">
        <v>43821</v>
      </c>
      <c r="E982" t="s">
        <v>51</v>
      </c>
      <c r="F982" t="s">
        <v>396</v>
      </c>
      <c r="G982" t="s">
        <v>171</v>
      </c>
      <c r="H982" t="s">
        <v>172</v>
      </c>
      <c r="I982" t="s">
        <v>27</v>
      </c>
      <c r="J982" t="s">
        <v>1142</v>
      </c>
    </row>
    <row r="983" spans="1:10" x14ac:dyDescent="0.3">
      <c r="A983" t="s">
        <v>151</v>
      </c>
      <c r="B983">
        <v>63373.72</v>
      </c>
      <c r="C983">
        <v>55572.41</v>
      </c>
      <c r="D983" s="1">
        <v>43893</v>
      </c>
      <c r="E983" t="s">
        <v>40</v>
      </c>
      <c r="F983" t="s">
        <v>92</v>
      </c>
      <c r="G983" t="s">
        <v>152</v>
      </c>
      <c r="H983" t="s">
        <v>197</v>
      </c>
      <c r="I983" t="s">
        <v>27</v>
      </c>
      <c r="J983" t="s">
        <v>1143</v>
      </c>
    </row>
    <row r="984" spans="1:10" x14ac:dyDescent="0.3">
      <c r="A984" t="s">
        <v>143</v>
      </c>
      <c r="B984">
        <v>85927.37</v>
      </c>
      <c r="C984">
        <v>74490.44</v>
      </c>
      <c r="D984" s="1">
        <v>43570</v>
      </c>
      <c r="E984" t="s">
        <v>40</v>
      </c>
      <c r="F984" t="s">
        <v>302</v>
      </c>
      <c r="G984" t="s">
        <v>145</v>
      </c>
      <c r="H984" t="s">
        <v>146</v>
      </c>
      <c r="I984" t="s">
        <v>27</v>
      </c>
      <c r="J984" t="s">
        <v>1144</v>
      </c>
    </row>
    <row r="985" spans="1:10" x14ac:dyDescent="0.3">
      <c r="A985" t="s">
        <v>22</v>
      </c>
      <c r="B985">
        <v>115718.87</v>
      </c>
      <c r="C985">
        <v>100640.7</v>
      </c>
      <c r="D985" s="1">
        <v>43579</v>
      </c>
      <c r="E985" t="s">
        <v>29</v>
      </c>
      <c r="F985" t="s">
        <v>256</v>
      </c>
      <c r="G985" t="s">
        <v>25</v>
      </c>
      <c r="H985" t="s">
        <v>52</v>
      </c>
      <c r="I985" t="s">
        <v>27</v>
      </c>
      <c r="J985" t="s">
        <v>1145</v>
      </c>
    </row>
    <row r="986" spans="1:10" x14ac:dyDescent="0.3">
      <c r="A986" t="s">
        <v>22</v>
      </c>
      <c r="B986">
        <v>87409.49</v>
      </c>
      <c r="C986">
        <v>70548.2</v>
      </c>
      <c r="D986" s="1">
        <v>44164</v>
      </c>
      <c r="E986" t="s">
        <v>11</v>
      </c>
      <c r="F986" t="s">
        <v>106</v>
      </c>
      <c r="G986" t="s">
        <v>25</v>
      </c>
      <c r="H986" t="s">
        <v>87</v>
      </c>
      <c r="I986" t="s">
        <v>27</v>
      </c>
      <c r="J986" t="s">
        <v>1146</v>
      </c>
    </row>
    <row r="987" spans="1:10" x14ac:dyDescent="0.3">
      <c r="A987" t="s">
        <v>216</v>
      </c>
      <c r="B987">
        <v>253291.55</v>
      </c>
      <c r="C987">
        <v>219502.46</v>
      </c>
      <c r="D987" s="1">
        <v>44171</v>
      </c>
      <c r="E987" t="s">
        <v>91</v>
      </c>
      <c r="F987" t="s">
        <v>97</v>
      </c>
      <c r="G987" t="s">
        <v>217</v>
      </c>
      <c r="H987" t="s">
        <v>218</v>
      </c>
      <c r="I987" t="s">
        <v>27</v>
      </c>
      <c r="J987" t="s">
        <v>1147</v>
      </c>
    </row>
    <row r="988" spans="1:10" x14ac:dyDescent="0.3">
      <c r="A988" t="s">
        <v>34</v>
      </c>
      <c r="B988">
        <v>383996.76</v>
      </c>
      <c r="C988">
        <v>304701.43</v>
      </c>
      <c r="D988" s="1">
        <v>43818</v>
      </c>
      <c r="E988" t="s">
        <v>99</v>
      </c>
      <c r="F988" t="s">
        <v>56</v>
      </c>
      <c r="G988" t="s">
        <v>36</v>
      </c>
      <c r="H988" t="s">
        <v>104</v>
      </c>
      <c r="I988" t="s">
        <v>27</v>
      </c>
      <c r="J988" t="s">
        <v>1148</v>
      </c>
    </row>
    <row r="989" spans="1:10" x14ac:dyDescent="0.3">
      <c r="A989" t="s">
        <v>129</v>
      </c>
      <c r="B989">
        <v>53616.06</v>
      </c>
      <c r="C989">
        <v>45589.74</v>
      </c>
      <c r="D989" s="1">
        <v>43891</v>
      </c>
      <c r="E989" t="s">
        <v>23</v>
      </c>
      <c r="F989" t="s">
        <v>80</v>
      </c>
      <c r="G989" t="s">
        <v>130</v>
      </c>
      <c r="H989" t="s">
        <v>159</v>
      </c>
      <c r="I989" t="s">
        <v>27</v>
      </c>
      <c r="J989" t="s">
        <v>1149</v>
      </c>
    </row>
    <row r="990" spans="1:10" x14ac:dyDescent="0.3">
      <c r="A990" t="s">
        <v>10</v>
      </c>
      <c r="B990">
        <v>176473.32</v>
      </c>
      <c r="C990">
        <v>139413.92000000001</v>
      </c>
      <c r="D990" s="1">
        <v>43638</v>
      </c>
      <c r="E990" t="s">
        <v>11</v>
      </c>
      <c r="F990" t="s">
        <v>18</v>
      </c>
      <c r="G990" t="s">
        <v>13</v>
      </c>
      <c r="H990" t="s">
        <v>81</v>
      </c>
      <c r="I990" t="s">
        <v>27</v>
      </c>
      <c r="J990" t="s">
        <v>1150</v>
      </c>
    </row>
    <row r="991" spans="1:10" x14ac:dyDescent="0.3">
      <c r="A991" t="s">
        <v>34</v>
      </c>
      <c r="B991">
        <v>29493.79</v>
      </c>
      <c r="C991">
        <v>24285.19</v>
      </c>
      <c r="D991" s="1">
        <v>43791</v>
      </c>
      <c r="E991" t="s">
        <v>11</v>
      </c>
      <c r="F991" t="s">
        <v>133</v>
      </c>
      <c r="G991" t="s">
        <v>36</v>
      </c>
      <c r="H991" t="s">
        <v>93</v>
      </c>
      <c r="J991" t="s">
        <v>1151</v>
      </c>
    </row>
    <row r="992" spans="1:10" x14ac:dyDescent="0.3">
      <c r="A992" t="s">
        <v>22</v>
      </c>
      <c r="B992">
        <v>52209.31</v>
      </c>
      <c r="C992">
        <v>41480.300000000003</v>
      </c>
      <c r="D992" s="1">
        <v>43550</v>
      </c>
      <c r="E992" t="s">
        <v>76</v>
      </c>
      <c r="F992" t="s">
        <v>367</v>
      </c>
      <c r="G992" t="s">
        <v>25</v>
      </c>
      <c r="H992" t="s">
        <v>26</v>
      </c>
      <c r="I992" t="s">
        <v>27</v>
      </c>
      <c r="J992" t="s">
        <v>1152</v>
      </c>
    </row>
    <row r="993" spans="1:10" x14ac:dyDescent="0.3">
      <c r="A993" t="s">
        <v>22</v>
      </c>
      <c r="B993">
        <v>125253.59</v>
      </c>
      <c r="C993">
        <v>108269.2</v>
      </c>
      <c r="D993" s="1">
        <v>43878</v>
      </c>
      <c r="E993" t="s">
        <v>51</v>
      </c>
      <c r="F993" t="s">
        <v>300</v>
      </c>
      <c r="G993" t="s">
        <v>25</v>
      </c>
      <c r="H993" t="s">
        <v>26</v>
      </c>
      <c r="I993" t="s">
        <v>27</v>
      </c>
      <c r="J993" t="s">
        <v>1153</v>
      </c>
    </row>
    <row r="994" spans="1:10" x14ac:dyDescent="0.3">
      <c r="A994" t="s">
        <v>17</v>
      </c>
      <c r="B994">
        <v>87404</v>
      </c>
      <c r="C994">
        <v>69363.81</v>
      </c>
      <c r="D994" s="1">
        <v>43825</v>
      </c>
      <c r="E994" t="s">
        <v>29</v>
      </c>
      <c r="F994" t="s">
        <v>56</v>
      </c>
      <c r="G994" t="s">
        <v>19</v>
      </c>
      <c r="H994" t="s">
        <v>78</v>
      </c>
      <c r="I994" t="s">
        <v>27</v>
      </c>
      <c r="J994" t="s">
        <v>1154</v>
      </c>
    </row>
    <row r="995" spans="1:10" x14ac:dyDescent="0.3">
      <c r="A995" t="s">
        <v>17</v>
      </c>
      <c r="B995">
        <v>167072.72</v>
      </c>
      <c r="C995">
        <v>135044.88</v>
      </c>
      <c r="D995" s="1">
        <v>43759</v>
      </c>
      <c r="E995" t="s">
        <v>40</v>
      </c>
      <c r="F995" t="s">
        <v>67</v>
      </c>
      <c r="G995" t="s">
        <v>19</v>
      </c>
      <c r="H995" t="s">
        <v>157</v>
      </c>
      <c r="I995" t="s">
        <v>27</v>
      </c>
      <c r="J995" t="s">
        <v>1155</v>
      </c>
    </row>
    <row r="996" spans="1:10" x14ac:dyDescent="0.3">
      <c r="A996" t="s">
        <v>17</v>
      </c>
      <c r="B996">
        <v>157932.84</v>
      </c>
      <c r="C996">
        <v>134148.15</v>
      </c>
      <c r="D996" s="1">
        <v>43861</v>
      </c>
      <c r="E996" t="s">
        <v>11</v>
      </c>
      <c r="F996" t="s">
        <v>156</v>
      </c>
      <c r="G996" t="s">
        <v>19</v>
      </c>
      <c r="H996" t="s">
        <v>20</v>
      </c>
      <c r="I996" t="s">
        <v>27</v>
      </c>
      <c r="J996" t="s">
        <v>1156</v>
      </c>
    </row>
    <row r="997" spans="1:10" x14ac:dyDescent="0.3">
      <c r="A997" t="s">
        <v>216</v>
      </c>
      <c r="B997">
        <v>95575.75</v>
      </c>
      <c r="C997">
        <v>75504.84</v>
      </c>
      <c r="D997" s="1">
        <v>44188</v>
      </c>
      <c r="E997" t="s">
        <v>91</v>
      </c>
      <c r="F997" t="s">
        <v>106</v>
      </c>
      <c r="G997" t="s">
        <v>217</v>
      </c>
      <c r="H997" t="s">
        <v>218</v>
      </c>
      <c r="I997" t="s">
        <v>27</v>
      </c>
      <c r="J997" t="s">
        <v>1157</v>
      </c>
    </row>
    <row r="998" spans="1:10" x14ac:dyDescent="0.3">
      <c r="A998" t="s">
        <v>17</v>
      </c>
      <c r="B998">
        <v>69126.5</v>
      </c>
      <c r="C998">
        <v>55902.6</v>
      </c>
      <c r="D998" s="1">
        <v>43689</v>
      </c>
      <c r="E998" t="s">
        <v>29</v>
      </c>
      <c r="F998" t="s">
        <v>400</v>
      </c>
      <c r="G998" t="s">
        <v>19</v>
      </c>
      <c r="H998" t="s">
        <v>49</v>
      </c>
      <c r="I998" t="s">
        <v>27</v>
      </c>
      <c r="J998" t="s">
        <v>1158</v>
      </c>
    </row>
    <row r="999" spans="1:10" x14ac:dyDescent="0.3">
      <c r="A999" t="s">
        <v>17</v>
      </c>
      <c r="B999">
        <v>140943.88</v>
      </c>
      <c r="C999">
        <v>120633.87</v>
      </c>
      <c r="D999" s="1">
        <v>43979</v>
      </c>
      <c r="E999" t="s">
        <v>23</v>
      </c>
      <c r="F999" t="s">
        <v>126</v>
      </c>
      <c r="G999" t="s">
        <v>19</v>
      </c>
      <c r="H999" t="s">
        <v>49</v>
      </c>
      <c r="I999" t="s">
        <v>15</v>
      </c>
      <c r="J999" t="s">
        <v>1159</v>
      </c>
    </row>
    <row r="1000" spans="1:10" x14ac:dyDescent="0.3">
      <c r="A1000" t="s">
        <v>17</v>
      </c>
      <c r="B1000">
        <v>124784.67</v>
      </c>
      <c r="C1000">
        <v>106853.11</v>
      </c>
      <c r="D1000" s="1">
        <v>43973</v>
      </c>
      <c r="E1000" t="s">
        <v>29</v>
      </c>
      <c r="F1000" t="s">
        <v>135</v>
      </c>
      <c r="G1000" t="s">
        <v>19</v>
      </c>
      <c r="H1000" t="s">
        <v>157</v>
      </c>
      <c r="I1000" t="s">
        <v>15</v>
      </c>
      <c r="J1000" t="s">
        <v>1160</v>
      </c>
    </row>
    <row r="1001" spans="1:10" x14ac:dyDescent="0.3">
      <c r="A1001" t="s">
        <v>54</v>
      </c>
      <c r="B1001">
        <v>61968.26</v>
      </c>
      <c r="C1001">
        <v>50690.04</v>
      </c>
      <c r="D1001" s="1">
        <v>44192</v>
      </c>
      <c r="E1001" t="s">
        <v>29</v>
      </c>
      <c r="F1001" t="s">
        <v>45</v>
      </c>
      <c r="G1001" t="s">
        <v>57</v>
      </c>
      <c r="H1001" t="s">
        <v>58</v>
      </c>
      <c r="I1001" t="s">
        <v>27</v>
      </c>
      <c r="J1001" t="s">
        <v>1161</v>
      </c>
    </row>
    <row r="1002" spans="1:10" x14ac:dyDescent="0.3">
      <c r="A1002" t="s">
        <v>216</v>
      </c>
      <c r="B1002">
        <v>172453.1</v>
      </c>
      <c r="C1002">
        <v>145688.38</v>
      </c>
      <c r="D1002" s="1">
        <v>44006</v>
      </c>
      <c r="E1002" t="s">
        <v>181</v>
      </c>
      <c r="F1002" t="s">
        <v>30</v>
      </c>
      <c r="G1002" t="s">
        <v>217</v>
      </c>
      <c r="H1002" t="s">
        <v>218</v>
      </c>
      <c r="I1002" t="s">
        <v>27</v>
      </c>
      <c r="J1002" t="s">
        <v>1162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6C0E-2A4B-4453-AE69-5AF7E96C583C}">
  <dimension ref="A1:C123"/>
  <sheetViews>
    <sheetView workbookViewId="0">
      <selection activeCell="F18" sqref="F18"/>
    </sheetView>
  </sheetViews>
  <sheetFormatPr defaultRowHeight="14.4" x14ac:dyDescent="0.3"/>
  <cols>
    <col min="1" max="1" width="10.88671875" bestFit="1" customWidth="1"/>
    <col min="2" max="2" width="11.6640625" bestFit="1" customWidth="1"/>
    <col min="3" max="3" width="16.5546875" bestFit="1" customWidth="1"/>
  </cols>
  <sheetData>
    <row r="1" spans="1:3" x14ac:dyDescent="0.3">
      <c r="A1" t="s">
        <v>0</v>
      </c>
      <c r="B1" t="s">
        <v>4</v>
      </c>
      <c r="C1" t="s">
        <v>1165</v>
      </c>
    </row>
    <row r="2" spans="1:3" x14ac:dyDescent="0.3">
      <c r="A2" t="s">
        <v>10</v>
      </c>
      <c r="B2" t="s">
        <v>11</v>
      </c>
      <c r="C2">
        <v>111989.68</v>
      </c>
    </row>
    <row r="3" spans="1:3" x14ac:dyDescent="0.3">
      <c r="A3" t="s">
        <v>17</v>
      </c>
      <c r="B3" t="s">
        <v>11</v>
      </c>
      <c r="C3">
        <v>93096.945416666669</v>
      </c>
    </row>
    <row r="4" spans="1:3" x14ac:dyDescent="0.3">
      <c r="A4" t="s">
        <v>22</v>
      </c>
      <c r="B4" t="s">
        <v>23</v>
      </c>
      <c r="C4">
        <v>121238.32137931034</v>
      </c>
    </row>
    <row r="5" spans="1:3" x14ac:dyDescent="0.3">
      <c r="A5" t="s">
        <v>17</v>
      </c>
      <c r="B5" t="s">
        <v>29</v>
      </c>
      <c r="C5">
        <v>109021.66636363637</v>
      </c>
    </row>
    <row r="6" spans="1:3" x14ac:dyDescent="0.3">
      <c r="A6" t="s">
        <v>34</v>
      </c>
      <c r="B6" t="s">
        <v>11</v>
      </c>
      <c r="C6">
        <v>81276.242666666658</v>
      </c>
    </row>
    <row r="7" spans="1:3" x14ac:dyDescent="0.3">
      <c r="A7" t="s">
        <v>39</v>
      </c>
      <c r="B7" t="s">
        <v>40</v>
      </c>
      <c r="C7">
        <v>127075.41</v>
      </c>
    </row>
    <row r="8" spans="1:3" x14ac:dyDescent="0.3">
      <c r="A8" t="s">
        <v>10</v>
      </c>
      <c r="B8" t="s">
        <v>40</v>
      </c>
      <c r="C8">
        <v>99380.517187499994</v>
      </c>
    </row>
    <row r="9" spans="1:3" x14ac:dyDescent="0.3">
      <c r="A9" t="s">
        <v>17</v>
      </c>
      <c r="B9" t="s">
        <v>23</v>
      </c>
      <c r="C9">
        <v>111445.85897435897</v>
      </c>
    </row>
    <row r="10" spans="1:3" x14ac:dyDescent="0.3">
      <c r="A10" t="s">
        <v>22</v>
      </c>
      <c r="B10" t="s">
        <v>51</v>
      </c>
      <c r="C10">
        <v>118291.24608695653</v>
      </c>
    </row>
    <row r="11" spans="1:3" x14ac:dyDescent="0.3">
      <c r="A11" t="s">
        <v>54</v>
      </c>
      <c r="B11" t="s">
        <v>55</v>
      </c>
      <c r="C11">
        <v>99144.742499999993</v>
      </c>
    </row>
    <row r="12" spans="1:3" x14ac:dyDescent="0.3">
      <c r="A12" t="s">
        <v>22</v>
      </c>
      <c r="B12" t="s">
        <v>29</v>
      </c>
      <c r="C12">
        <v>106377.63071428571</v>
      </c>
    </row>
    <row r="13" spans="1:3" x14ac:dyDescent="0.3">
      <c r="A13" t="s">
        <v>22</v>
      </c>
      <c r="B13" t="s">
        <v>40</v>
      </c>
      <c r="C13">
        <v>120955.13384615385</v>
      </c>
    </row>
    <row r="14" spans="1:3" x14ac:dyDescent="0.3">
      <c r="A14" t="s">
        <v>22</v>
      </c>
      <c r="B14" t="s">
        <v>55</v>
      </c>
      <c r="C14">
        <v>139210.33124999999</v>
      </c>
    </row>
    <row r="15" spans="1:3" x14ac:dyDescent="0.3">
      <c r="A15" t="s">
        <v>66</v>
      </c>
      <c r="B15" t="s">
        <v>51</v>
      </c>
      <c r="C15">
        <v>151893.04499999998</v>
      </c>
    </row>
    <row r="16" spans="1:3" x14ac:dyDescent="0.3">
      <c r="A16" t="s">
        <v>10</v>
      </c>
      <c r="B16" t="s">
        <v>29</v>
      </c>
      <c r="C16">
        <v>117733.74928571429</v>
      </c>
    </row>
    <row r="17" spans="1:3" x14ac:dyDescent="0.3">
      <c r="A17" t="s">
        <v>22</v>
      </c>
      <c r="B17" t="s">
        <v>11</v>
      </c>
      <c r="C17">
        <v>122402.57365853658</v>
      </c>
    </row>
    <row r="18" spans="1:3" x14ac:dyDescent="0.3">
      <c r="A18" t="s">
        <v>17</v>
      </c>
      <c r="B18" t="s">
        <v>76</v>
      </c>
      <c r="C18">
        <v>107000.56833333331</v>
      </c>
    </row>
    <row r="19" spans="1:3" x14ac:dyDescent="0.3">
      <c r="A19" t="s">
        <v>22</v>
      </c>
      <c r="B19" t="s">
        <v>76</v>
      </c>
      <c r="C19">
        <v>108998.92692307693</v>
      </c>
    </row>
    <row r="20" spans="1:3" x14ac:dyDescent="0.3">
      <c r="A20" t="s">
        <v>34</v>
      </c>
      <c r="B20" t="s">
        <v>91</v>
      </c>
      <c r="C20">
        <v>114493.14571428573</v>
      </c>
    </row>
    <row r="21" spans="1:3" x14ac:dyDescent="0.3">
      <c r="A21" t="s">
        <v>10</v>
      </c>
      <c r="B21" t="s">
        <v>23</v>
      </c>
      <c r="C21">
        <v>94911.651904761908</v>
      </c>
    </row>
    <row r="22" spans="1:3" x14ac:dyDescent="0.3">
      <c r="A22" t="s">
        <v>10</v>
      </c>
      <c r="B22" t="s">
        <v>99</v>
      </c>
      <c r="C22">
        <v>116044.91857142857</v>
      </c>
    </row>
    <row r="23" spans="1:3" x14ac:dyDescent="0.3">
      <c r="A23" t="s">
        <v>34</v>
      </c>
      <c r="B23" t="s">
        <v>40</v>
      </c>
      <c r="C23">
        <v>122704.93944444445</v>
      </c>
    </row>
    <row r="24" spans="1:3" x14ac:dyDescent="0.3">
      <c r="A24" t="s">
        <v>17</v>
      </c>
      <c r="B24" t="s">
        <v>91</v>
      </c>
      <c r="C24">
        <v>124836.90400000001</v>
      </c>
    </row>
    <row r="25" spans="1:3" x14ac:dyDescent="0.3">
      <c r="A25" t="s">
        <v>17</v>
      </c>
      <c r="B25" t="s">
        <v>99</v>
      </c>
      <c r="C25">
        <v>90824.892500000002</v>
      </c>
    </row>
    <row r="26" spans="1:3" x14ac:dyDescent="0.3">
      <c r="A26" t="s">
        <v>54</v>
      </c>
      <c r="B26" t="s">
        <v>40</v>
      </c>
      <c r="C26">
        <v>90549.19</v>
      </c>
    </row>
    <row r="27" spans="1:3" x14ac:dyDescent="0.3">
      <c r="A27" t="s">
        <v>54</v>
      </c>
      <c r="B27" t="s">
        <v>11</v>
      </c>
      <c r="C27">
        <v>170868.51</v>
      </c>
    </row>
    <row r="28" spans="1:3" x14ac:dyDescent="0.3">
      <c r="A28" t="s">
        <v>17</v>
      </c>
      <c r="B28" t="s">
        <v>40</v>
      </c>
      <c r="C28">
        <v>119322.17551724138</v>
      </c>
    </row>
    <row r="29" spans="1:3" x14ac:dyDescent="0.3">
      <c r="A29" t="s">
        <v>34</v>
      </c>
      <c r="B29" t="s">
        <v>55</v>
      </c>
      <c r="C29">
        <v>140368.26999999999</v>
      </c>
    </row>
    <row r="30" spans="1:3" x14ac:dyDescent="0.3">
      <c r="A30" t="s">
        <v>54</v>
      </c>
      <c r="B30" t="s">
        <v>29</v>
      </c>
      <c r="C30">
        <v>97130.116666666669</v>
      </c>
    </row>
    <row r="31" spans="1:3" x14ac:dyDescent="0.3">
      <c r="A31" t="s">
        <v>122</v>
      </c>
      <c r="B31" t="s">
        <v>51</v>
      </c>
      <c r="C31">
        <v>113303.72333333333</v>
      </c>
    </row>
    <row r="32" spans="1:3" x14ac:dyDescent="0.3">
      <c r="A32" t="s">
        <v>129</v>
      </c>
      <c r="B32" t="s">
        <v>29</v>
      </c>
      <c r="C32">
        <v>81512.805999999997</v>
      </c>
    </row>
    <row r="33" spans="1:3" x14ac:dyDescent="0.3">
      <c r="A33" t="s">
        <v>54</v>
      </c>
      <c r="B33" t="s">
        <v>91</v>
      </c>
      <c r="C33">
        <v>86704.08</v>
      </c>
    </row>
    <row r="34" spans="1:3" x14ac:dyDescent="0.3">
      <c r="A34" t="s">
        <v>129</v>
      </c>
      <c r="B34" t="s">
        <v>55</v>
      </c>
      <c r="C34">
        <v>48946.74</v>
      </c>
    </row>
    <row r="35" spans="1:3" x14ac:dyDescent="0.3">
      <c r="A35" t="s">
        <v>10</v>
      </c>
      <c r="B35" t="s">
        <v>91</v>
      </c>
      <c r="C35">
        <v>98354.969500000007</v>
      </c>
    </row>
    <row r="36" spans="1:3" x14ac:dyDescent="0.3">
      <c r="A36" t="s">
        <v>39</v>
      </c>
      <c r="B36" t="s">
        <v>11</v>
      </c>
      <c r="C36">
        <v>91046.646666666667</v>
      </c>
    </row>
    <row r="37" spans="1:3" x14ac:dyDescent="0.3">
      <c r="A37" t="s">
        <v>22</v>
      </c>
      <c r="B37" t="s">
        <v>91</v>
      </c>
      <c r="C37">
        <v>100529.50461538462</v>
      </c>
    </row>
    <row r="38" spans="1:3" x14ac:dyDescent="0.3">
      <c r="A38" t="s">
        <v>143</v>
      </c>
      <c r="B38" t="s">
        <v>40</v>
      </c>
      <c r="C38">
        <v>86211.692500000005</v>
      </c>
    </row>
    <row r="39" spans="1:3" x14ac:dyDescent="0.3">
      <c r="A39" t="s">
        <v>17</v>
      </c>
      <c r="B39" t="s">
        <v>55</v>
      </c>
      <c r="C39">
        <v>121834.34166666666</v>
      </c>
    </row>
    <row r="40" spans="1:3" x14ac:dyDescent="0.3">
      <c r="A40" t="s">
        <v>151</v>
      </c>
      <c r="B40" t="s">
        <v>91</v>
      </c>
      <c r="C40">
        <v>202762.88333333333</v>
      </c>
    </row>
    <row r="41" spans="1:3" x14ac:dyDescent="0.3">
      <c r="A41" t="s">
        <v>129</v>
      </c>
      <c r="B41" t="s">
        <v>23</v>
      </c>
      <c r="C41">
        <v>138463.3175</v>
      </c>
    </row>
    <row r="42" spans="1:3" x14ac:dyDescent="0.3">
      <c r="A42" t="s">
        <v>39</v>
      </c>
      <c r="B42" t="s">
        <v>51</v>
      </c>
      <c r="C42">
        <v>163203.64000000001</v>
      </c>
    </row>
    <row r="43" spans="1:3" x14ac:dyDescent="0.3">
      <c r="A43" t="s">
        <v>22</v>
      </c>
      <c r="B43" t="s">
        <v>99</v>
      </c>
      <c r="C43">
        <v>127902.16666666664</v>
      </c>
    </row>
    <row r="44" spans="1:3" x14ac:dyDescent="0.3">
      <c r="A44" t="s">
        <v>66</v>
      </c>
      <c r="B44" t="s">
        <v>91</v>
      </c>
      <c r="C44">
        <v>187385.87666666665</v>
      </c>
    </row>
    <row r="45" spans="1:3" x14ac:dyDescent="0.3">
      <c r="A45" t="s">
        <v>169</v>
      </c>
      <c r="B45" t="s">
        <v>91</v>
      </c>
      <c r="C45">
        <v>52877.714999999997</v>
      </c>
    </row>
    <row r="46" spans="1:3" x14ac:dyDescent="0.3">
      <c r="A46" t="s">
        <v>22</v>
      </c>
      <c r="B46" t="s">
        <v>181</v>
      </c>
      <c r="C46">
        <v>116660.58307692307</v>
      </c>
    </row>
    <row r="47" spans="1:3" x14ac:dyDescent="0.3">
      <c r="A47" t="s">
        <v>122</v>
      </c>
      <c r="B47" t="s">
        <v>23</v>
      </c>
      <c r="C47">
        <v>136605.93</v>
      </c>
    </row>
    <row r="48" spans="1:3" x14ac:dyDescent="0.3">
      <c r="A48" t="s">
        <v>17</v>
      </c>
      <c r="B48" t="s">
        <v>51</v>
      </c>
      <c r="C48">
        <v>114779.76769230769</v>
      </c>
    </row>
    <row r="49" spans="1:3" x14ac:dyDescent="0.3">
      <c r="A49" t="s">
        <v>10</v>
      </c>
      <c r="B49" t="s">
        <v>76</v>
      </c>
      <c r="C49">
        <v>92139.831923076912</v>
      </c>
    </row>
    <row r="50" spans="1:3" x14ac:dyDescent="0.3">
      <c r="A50" t="s">
        <v>122</v>
      </c>
      <c r="B50" t="s">
        <v>91</v>
      </c>
      <c r="C50">
        <v>105071.24333333333</v>
      </c>
    </row>
    <row r="51" spans="1:3" x14ac:dyDescent="0.3">
      <c r="A51" t="s">
        <v>143</v>
      </c>
      <c r="B51" t="s">
        <v>23</v>
      </c>
    </row>
    <row r="52" spans="1:3" x14ac:dyDescent="0.3">
      <c r="A52" t="s">
        <v>216</v>
      </c>
      <c r="B52" t="s">
        <v>11</v>
      </c>
      <c r="C52">
        <v>105668.065</v>
      </c>
    </row>
    <row r="53" spans="1:3" x14ac:dyDescent="0.3">
      <c r="A53" t="s">
        <v>34</v>
      </c>
      <c r="B53" t="s">
        <v>51</v>
      </c>
      <c r="C53">
        <v>123353.19714285714</v>
      </c>
    </row>
    <row r="54" spans="1:3" x14ac:dyDescent="0.3">
      <c r="A54" t="s">
        <v>151</v>
      </c>
      <c r="B54" t="s">
        <v>29</v>
      </c>
      <c r="C54">
        <v>107274.08714285714</v>
      </c>
    </row>
    <row r="55" spans="1:3" x14ac:dyDescent="0.3">
      <c r="A55" t="s">
        <v>151</v>
      </c>
      <c r="B55" t="s">
        <v>23</v>
      </c>
      <c r="C55">
        <v>91438.959999999992</v>
      </c>
    </row>
    <row r="56" spans="1:3" x14ac:dyDescent="0.3">
      <c r="A56" t="s">
        <v>151</v>
      </c>
      <c r="B56" t="s">
        <v>76</v>
      </c>
      <c r="C56">
        <v>136377.70333333334</v>
      </c>
    </row>
    <row r="57" spans="1:3" x14ac:dyDescent="0.3">
      <c r="A57" t="s">
        <v>54</v>
      </c>
      <c r="B57" t="s">
        <v>51</v>
      </c>
      <c r="C57">
        <v>102918.09</v>
      </c>
    </row>
    <row r="58" spans="1:3" x14ac:dyDescent="0.3">
      <c r="A58" t="s">
        <v>169</v>
      </c>
      <c r="B58" t="s">
        <v>29</v>
      </c>
      <c r="C58">
        <v>69017.42</v>
      </c>
    </row>
    <row r="59" spans="1:3" x14ac:dyDescent="0.3">
      <c r="A59" t="s">
        <v>247</v>
      </c>
      <c r="B59" t="s">
        <v>51</v>
      </c>
      <c r="C59">
        <v>122889.28</v>
      </c>
    </row>
    <row r="60" spans="1:3" x14ac:dyDescent="0.3">
      <c r="A60" t="s">
        <v>129</v>
      </c>
      <c r="B60" t="s">
        <v>40</v>
      </c>
      <c r="C60">
        <v>118267.02714285714</v>
      </c>
    </row>
    <row r="61" spans="1:3" x14ac:dyDescent="0.3">
      <c r="A61" t="s">
        <v>122</v>
      </c>
      <c r="B61" t="s">
        <v>40</v>
      </c>
      <c r="C61">
        <v>132965.28</v>
      </c>
    </row>
    <row r="62" spans="1:3" x14ac:dyDescent="0.3">
      <c r="A62" t="s">
        <v>66</v>
      </c>
      <c r="B62" t="s">
        <v>29</v>
      </c>
      <c r="C62">
        <v>88051.790000000008</v>
      </c>
    </row>
    <row r="63" spans="1:3" x14ac:dyDescent="0.3">
      <c r="A63" t="s">
        <v>143</v>
      </c>
      <c r="B63" t="s">
        <v>29</v>
      </c>
      <c r="C63">
        <v>88434.554285714286</v>
      </c>
    </row>
    <row r="64" spans="1:3" x14ac:dyDescent="0.3">
      <c r="A64" t="s">
        <v>34</v>
      </c>
      <c r="B64" t="s">
        <v>181</v>
      </c>
      <c r="C64">
        <v>124611.51699999999</v>
      </c>
    </row>
    <row r="65" spans="1:3" x14ac:dyDescent="0.3">
      <c r="A65" t="s">
        <v>10</v>
      </c>
      <c r="B65" t="s">
        <v>55</v>
      </c>
      <c r="C65">
        <v>172938.61800000002</v>
      </c>
    </row>
    <row r="66" spans="1:3" x14ac:dyDescent="0.3">
      <c r="A66" t="s">
        <v>151</v>
      </c>
      <c r="B66" t="s">
        <v>99</v>
      </c>
      <c r="C66">
        <v>62377.729999999996</v>
      </c>
    </row>
    <row r="67" spans="1:3" x14ac:dyDescent="0.3">
      <c r="A67" t="s">
        <v>66</v>
      </c>
      <c r="B67" t="s">
        <v>11</v>
      </c>
      <c r="C67">
        <v>115271.12</v>
      </c>
    </row>
    <row r="68" spans="1:3" x14ac:dyDescent="0.3">
      <c r="A68" t="s">
        <v>129</v>
      </c>
      <c r="B68" t="s">
        <v>91</v>
      </c>
      <c r="C68">
        <v>141036.81</v>
      </c>
    </row>
    <row r="69" spans="1:3" x14ac:dyDescent="0.3">
      <c r="A69" t="s">
        <v>143</v>
      </c>
      <c r="B69" t="s">
        <v>11</v>
      </c>
      <c r="C69">
        <v>140060.77499999999</v>
      </c>
    </row>
    <row r="70" spans="1:3" x14ac:dyDescent="0.3">
      <c r="A70" t="s">
        <v>216</v>
      </c>
      <c r="B70" t="s">
        <v>51</v>
      </c>
      <c r="C70">
        <v>73516.7</v>
      </c>
    </row>
    <row r="71" spans="1:3" x14ac:dyDescent="0.3">
      <c r="A71" t="s">
        <v>34</v>
      </c>
      <c r="B71" t="s">
        <v>76</v>
      </c>
      <c r="C71">
        <v>104062.15399999999</v>
      </c>
    </row>
    <row r="72" spans="1:3" x14ac:dyDescent="0.3">
      <c r="A72" t="s">
        <v>216</v>
      </c>
      <c r="B72" t="s">
        <v>40</v>
      </c>
      <c r="C72">
        <v>144228.628</v>
      </c>
    </row>
    <row r="73" spans="1:3" x14ac:dyDescent="0.3">
      <c r="A73" t="s">
        <v>66</v>
      </c>
      <c r="B73" t="s">
        <v>23</v>
      </c>
      <c r="C73">
        <v>49246.364999999998</v>
      </c>
    </row>
    <row r="74" spans="1:3" x14ac:dyDescent="0.3">
      <c r="A74" t="s">
        <v>66</v>
      </c>
      <c r="B74" t="s">
        <v>55</v>
      </c>
      <c r="C74">
        <v>167759.01500000001</v>
      </c>
    </row>
    <row r="75" spans="1:3" x14ac:dyDescent="0.3">
      <c r="A75" t="s">
        <v>39</v>
      </c>
      <c r="B75" t="s">
        <v>99</v>
      </c>
      <c r="C75">
        <v>109390.57</v>
      </c>
    </row>
    <row r="76" spans="1:3" x14ac:dyDescent="0.3">
      <c r="A76" t="s">
        <v>129</v>
      </c>
      <c r="B76" t="s">
        <v>181</v>
      </c>
      <c r="C76">
        <v>135236.02499999999</v>
      </c>
    </row>
    <row r="77" spans="1:3" x14ac:dyDescent="0.3">
      <c r="A77" t="s">
        <v>10</v>
      </c>
      <c r="B77" t="s">
        <v>51</v>
      </c>
      <c r="C77">
        <v>124871.11062500002</v>
      </c>
    </row>
    <row r="78" spans="1:3" x14ac:dyDescent="0.3">
      <c r="A78" t="s">
        <v>122</v>
      </c>
      <c r="B78" t="s">
        <v>29</v>
      </c>
      <c r="C78">
        <v>125784.8725</v>
      </c>
    </row>
    <row r="79" spans="1:3" x14ac:dyDescent="0.3">
      <c r="A79" t="s">
        <v>216</v>
      </c>
      <c r="B79" t="s">
        <v>76</v>
      </c>
      <c r="C79">
        <v>214983.15</v>
      </c>
    </row>
    <row r="80" spans="1:3" x14ac:dyDescent="0.3">
      <c r="A80" t="s">
        <v>129</v>
      </c>
      <c r="B80" t="s">
        <v>11</v>
      </c>
      <c r="C80">
        <v>131518.41545454547</v>
      </c>
    </row>
    <row r="81" spans="1:3" x14ac:dyDescent="0.3">
      <c r="A81" t="s">
        <v>10</v>
      </c>
      <c r="B81" t="s">
        <v>181</v>
      </c>
      <c r="C81">
        <v>122741.38</v>
      </c>
    </row>
    <row r="82" spans="1:3" x14ac:dyDescent="0.3">
      <c r="A82" t="s">
        <v>129</v>
      </c>
      <c r="B82" t="s">
        <v>76</v>
      </c>
      <c r="C82">
        <v>131196.82333333333</v>
      </c>
    </row>
    <row r="83" spans="1:3" x14ac:dyDescent="0.3">
      <c r="A83" t="s">
        <v>34</v>
      </c>
      <c r="B83" t="s">
        <v>23</v>
      </c>
      <c r="C83">
        <v>152785.30818181817</v>
      </c>
    </row>
    <row r="84" spans="1:3" x14ac:dyDescent="0.3">
      <c r="A84" t="s">
        <v>66</v>
      </c>
      <c r="B84" t="s">
        <v>76</v>
      </c>
      <c r="C84">
        <v>152215.22666666665</v>
      </c>
    </row>
    <row r="85" spans="1:3" x14ac:dyDescent="0.3">
      <c r="A85" t="s">
        <v>151</v>
      </c>
      <c r="B85" t="s">
        <v>181</v>
      </c>
      <c r="C85">
        <v>96602.02</v>
      </c>
    </row>
    <row r="86" spans="1:3" x14ac:dyDescent="0.3">
      <c r="A86" t="s">
        <v>122</v>
      </c>
      <c r="B86" t="s">
        <v>181</v>
      </c>
      <c r="C86">
        <v>93507.785000000003</v>
      </c>
    </row>
    <row r="87" spans="1:3" x14ac:dyDescent="0.3">
      <c r="A87" t="s">
        <v>151</v>
      </c>
      <c r="B87" t="s">
        <v>11</v>
      </c>
      <c r="C87">
        <v>95334.41</v>
      </c>
    </row>
    <row r="88" spans="1:3" x14ac:dyDescent="0.3">
      <c r="A88" t="s">
        <v>151</v>
      </c>
      <c r="B88" t="s">
        <v>40</v>
      </c>
      <c r="C88">
        <v>102991.80499999999</v>
      </c>
    </row>
    <row r="89" spans="1:3" x14ac:dyDescent="0.3">
      <c r="A89" t="s">
        <v>54</v>
      </c>
      <c r="B89" t="s">
        <v>76</v>
      </c>
      <c r="C89">
        <v>230765.62</v>
      </c>
    </row>
    <row r="90" spans="1:3" x14ac:dyDescent="0.3">
      <c r="A90" t="s">
        <v>66</v>
      </c>
      <c r="B90" t="s">
        <v>181</v>
      </c>
      <c r="C90">
        <v>151841.745</v>
      </c>
    </row>
    <row r="91" spans="1:3" x14ac:dyDescent="0.3">
      <c r="A91" t="s">
        <v>54</v>
      </c>
      <c r="B91" t="s">
        <v>23</v>
      </c>
      <c r="C91">
        <v>146398.81200000001</v>
      </c>
    </row>
    <row r="92" spans="1:3" x14ac:dyDescent="0.3">
      <c r="A92" t="s">
        <v>39</v>
      </c>
      <c r="B92" t="s">
        <v>91</v>
      </c>
      <c r="C92">
        <v>75040.943333333344</v>
      </c>
    </row>
    <row r="93" spans="1:3" x14ac:dyDescent="0.3">
      <c r="A93" t="s">
        <v>34</v>
      </c>
      <c r="B93" t="s">
        <v>29</v>
      </c>
      <c r="C93">
        <v>125779.33375000001</v>
      </c>
    </row>
    <row r="94" spans="1:3" x14ac:dyDescent="0.3">
      <c r="A94" t="s">
        <v>216</v>
      </c>
      <c r="B94" t="s">
        <v>181</v>
      </c>
      <c r="C94">
        <v>137263.07</v>
      </c>
    </row>
    <row r="95" spans="1:3" x14ac:dyDescent="0.3">
      <c r="A95" t="s">
        <v>34</v>
      </c>
      <c r="B95" t="s">
        <v>99</v>
      </c>
      <c r="C95">
        <v>201447.36500000002</v>
      </c>
    </row>
    <row r="96" spans="1:3" x14ac:dyDescent="0.3">
      <c r="A96" t="s">
        <v>17</v>
      </c>
      <c r="B96" t="s">
        <v>181</v>
      </c>
      <c r="C96">
        <v>123557.40428571429</v>
      </c>
    </row>
    <row r="97" spans="1:3" x14ac:dyDescent="0.3">
      <c r="A97" t="s">
        <v>143</v>
      </c>
      <c r="B97" t="s">
        <v>99</v>
      </c>
      <c r="C97">
        <v>93279.4</v>
      </c>
    </row>
    <row r="98" spans="1:3" x14ac:dyDescent="0.3">
      <c r="A98" t="s">
        <v>247</v>
      </c>
      <c r="B98" t="s">
        <v>55</v>
      </c>
      <c r="C98">
        <v>46311.34</v>
      </c>
    </row>
    <row r="99" spans="1:3" x14ac:dyDescent="0.3">
      <c r="A99" t="s">
        <v>143</v>
      </c>
      <c r="B99" t="s">
        <v>76</v>
      </c>
      <c r="C99">
        <v>74095.537500000006</v>
      </c>
    </row>
    <row r="100" spans="1:3" x14ac:dyDescent="0.3">
      <c r="A100" t="s">
        <v>513</v>
      </c>
      <c r="B100" t="s">
        <v>11</v>
      </c>
      <c r="C100">
        <v>139075.59</v>
      </c>
    </row>
    <row r="101" spans="1:3" x14ac:dyDescent="0.3">
      <c r="A101" t="s">
        <v>169</v>
      </c>
      <c r="B101" t="s">
        <v>23</v>
      </c>
      <c r="C101">
        <v>35177.754999999997</v>
      </c>
    </row>
    <row r="102" spans="1:3" x14ac:dyDescent="0.3">
      <c r="A102" t="s">
        <v>216</v>
      </c>
      <c r="B102" t="s">
        <v>91</v>
      </c>
      <c r="C102">
        <v>150585.125</v>
      </c>
    </row>
    <row r="103" spans="1:3" x14ac:dyDescent="0.3">
      <c r="A103" t="s">
        <v>151</v>
      </c>
      <c r="B103" t="s">
        <v>51</v>
      </c>
      <c r="C103">
        <v>111659.06</v>
      </c>
    </row>
    <row r="104" spans="1:3" x14ac:dyDescent="0.3">
      <c r="A104" t="s">
        <v>129</v>
      </c>
      <c r="B104" t="s">
        <v>99</v>
      </c>
      <c r="C104">
        <v>133057.07</v>
      </c>
    </row>
    <row r="105" spans="1:3" x14ac:dyDescent="0.3">
      <c r="A105" t="s">
        <v>247</v>
      </c>
      <c r="B105" t="s">
        <v>23</v>
      </c>
      <c r="C105">
        <v>105607.515</v>
      </c>
    </row>
    <row r="106" spans="1:3" x14ac:dyDescent="0.3">
      <c r="A106" t="s">
        <v>143</v>
      </c>
      <c r="B106" t="s">
        <v>181</v>
      </c>
      <c r="C106">
        <v>77855.47</v>
      </c>
    </row>
    <row r="107" spans="1:3" x14ac:dyDescent="0.3">
      <c r="A107" t="s">
        <v>216</v>
      </c>
      <c r="B107" t="s">
        <v>23</v>
      </c>
      <c r="C107">
        <v>80517.53</v>
      </c>
    </row>
    <row r="108" spans="1:3" x14ac:dyDescent="0.3">
      <c r="A108" t="s">
        <v>122</v>
      </c>
      <c r="B108" t="s">
        <v>11</v>
      </c>
      <c r="C108">
        <v>98554.912000000011</v>
      </c>
    </row>
    <row r="109" spans="1:3" x14ac:dyDescent="0.3">
      <c r="A109" t="s">
        <v>143</v>
      </c>
      <c r="B109" t="s">
        <v>91</v>
      </c>
      <c r="C109">
        <v>42475.6</v>
      </c>
    </row>
    <row r="110" spans="1:3" x14ac:dyDescent="0.3">
      <c r="A110" t="s">
        <v>169</v>
      </c>
      <c r="B110" t="s">
        <v>11</v>
      </c>
      <c r="C110">
        <v>39287.29</v>
      </c>
    </row>
    <row r="111" spans="1:3" x14ac:dyDescent="0.3">
      <c r="A111" t="s">
        <v>513</v>
      </c>
      <c r="B111" t="s">
        <v>29</v>
      </c>
      <c r="C111">
        <v>51090.76</v>
      </c>
    </row>
    <row r="112" spans="1:3" x14ac:dyDescent="0.3">
      <c r="A112" t="s">
        <v>143</v>
      </c>
      <c r="B112" t="s">
        <v>51</v>
      </c>
      <c r="C112">
        <v>75045.354999999996</v>
      </c>
    </row>
    <row r="113" spans="1:3" x14ac:dyDescent="0.3">
      <c r="A113" t="s">
        <v>216</v>
      </c>
      <c r="B113" t="s">
        <v>29</v>
      </c>
      <c r="C113">
        <v>110838.21249999999</v>
      </c>
    </row>
    <row r="114" spans="1:3" x14ac:dyDescent="0.3">
      <c r="A114" t="s">
        <v>66</v>
      </c>
      <c r="B114" t="s">
        <v>40</v>
      </c>
      <c r="C114">
        <v>110449.93666666666</v>
      </c>
    </row>
    <row r="115" spans="1:3" x14ac:dyDescent="0.3">
      <c r="A115" t="s">
        <v>54</v>
      </c>
      <c r="B115" t="s">
        <v>181</v>
      </c>
      <c r="C115">
        <v>48922.42</v>
      </c>
    </row>
    <row r="116" spans="1:3" x14ac:dyDescent="0.3">
      <c r="A116" t="s">
        <v>122</v>
      </c>
      <c r="B116" t="s">
        <v>76</v>
      </c>
      <c r="C116">
        <v>142296.9</v>
      </c>
    </row>
    <row r="117" spans="1:3" x14ac:dyDescent="0.3">
      <c r="A117" t="s">
        <v>247</v>
      </c>
      <c r="B117" t="s">
        <v>11</v>
      </c>
      <c r="C117">
        <v>152370.57</v>
      </c>
    </row>
    <row r="118" spans="1:3" x14ac:dyDescent="0.3">
      <c r="A118" t="s">
        <v>169</v>
      </c>
      <c r="B118" t="s">
        <v>40</v>
      </c>
      <c r="C118">
        <v>62385.285000000003</v>
      </c>
    </row>
    <row r="119" spans="1:3" x14ac:dyDescent="0.3">
      <c r="A119" t="s">
        <v>122</v>
      </c>
      <c r="B119" t="s">
        <v>55</v>
      </c>
      <c r="C119">
        <v>98963.03</v>
      </c>
    </row>
    <row r="120" spans="1:3" x14ac:dyDescent="0.3">
      <c r="A120" t="s">
        <v>39</v>
      </c>
      <c r="B120" t="s">
        <v>23</v>
      </c>
      <c r="C120">
        <v>37636.910000000003</v>
      </c>
    </row>
    <row r="121" spans="1:3" x14ac:dyDescent="0.3">
      <c r="A121" t="s">
        <v>247</v>
      </c>
      <c r="B121" t="s">
        <v>40</v>
      </c>
      <c r="C121">
        <v>76183.740000000005</v>
      </c>
    </row>
    <row r="122" spans="1:3" x14ac:dyDescent="0.3">
      <c r="A122" t="s">
        <v>151</v>
      </c>
      <c r="B122" t="s">
        <v>55</v>
      </c>
      <c r="C122">
        <v>226021.18</v>
      </c>
    </row>
    <row r="123" spans="1:3" x14ac:dyDescent="0.3">
      <c r="A123" t="s">
        <v>169</v>
      </c>
      <c r="B123" t="s">
        <v>51</v>
      </c>
      <c r="C123">
        <v>248261.86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339C-96A7-4617-B111-F647C8010BD9}">
  <dimension ref="A1:P1002"/>
  <sheetViews>
    <sheetView workbookViewId="0">
      <selection activeCell="E39" sqref="E39"/>
    </sheetView>
  </sheetViews>
  <sheetFormatPr defaultRowHeight="14.4" x14ac:dyDescent="0.3"/>
  <cols>
    <col min="1" max="1" width="10.88671875" bestFit="1" customWidth="1"/>
    <col min="2" max="2" width="25.109375" bestFit="1" customWidth="1"/>
    <col min="3" max="3" width="14.21875" bestFit="1" customWidth="1"/>
    <col min="4" max="4" width="10.33203125" bestFit="1" customWidth="1"/>
    <col min="5" max="5" width="11.6640625" bestFit="1" customWidth="1"/>
    <col min="6" max="6" width="30.88671875" bestFit="1" customWidth="1"/>
    <col min="7" max="7" width="15.6640625" bestFit="1" customWidth="1"/>
    <col min="8" max="8" width="17" bestFit="1" customWidth="1"/>
    <col min="9" max="9" width="13.21875" bestFit="1" customWidth="1"/>
    <col min="10" max="10" width="10.6640625" bestFit="1" customWidth="1"/>
    <col min="11" max="11" width="11.6640625" bestFit="1" customWidth="1"/>
    <col min="12" max="12" width="15.6640625" bestFit="1" customWidth="1"/>
    <col min="13" max="13" width="6.88671875" bestFit="1" customWidth="1"/>
    <col min="14" max="14" width="9.77734375" bestFit="1" customWidth="1"/>
    <col min="15" max="15" width="15.109375" bestFit="1" customWidth="1"/>
    <col min="16" max="16" width="9.21875" bestFit="1" customWidth="1"/>
    <col min="17" max="17" width="12.33203125" bestFit="1" customWidth="1"/>
    <col min="18" max="18" width="10.6640625" bestFit="1" customWidth="1"/>
  </cols>
  <sheetData>
    <row r="1" spans="1:16" x14ac:dyDescent="0.3">
      <c r="A1" t="s">
        <v>0</v>
      </c>
      <c r="B1" t="s">
        <v>1164</v>
      </c>
      <c r="C1" t="s">
        <v>1166</v>
      </c>
      <c r="D1" t="s">
        <v>3</v>
      </c>
      <c r="E1" t="s">
        <v>4</v>
      </c>
      <c r="F1" t="s">
        <v>5</v>
      </c>
      <c r="G1" t="s">
        <v>6</v>
      </c>
      <c r="H1" t="s">
        <v>7</v>
      </c>
      <c r="I1" t="s">
        <v>8</v>
      </c>
      <c r="J1" t="s">
        <v>9</v>
      </c>
      <c r="K1" t="s">
        <v>1167</v>
      </c>
      <c r="L1" t="s">
        <v>1168</v>
      </c>
      <c r="M1" t="s">
        <v>1169</v>
      </c>
      <c r="N1" t="s">
        <v>1170</v>
      </c>
      <c r="O1" t="s">
        <v>1212</v>
      </c>
      <c r="P1" t="s">
        <v>1213</v>
      </c>
    </row>
    <row r="2" spans="1:16" x14ac:dyDescent="0.3">
      <c r="A2" t="s">
        <v>10</v>
      </c>
      <c r="B2">
        <v>98320.37</v>
      </c>
      <c r="C2">
        <v>77722.25</v>
      </c>
      <c r="D2" s="1">
        <v>44066</v>
      </c>
      <c r="E2" t="s">
        <v>11</v>
      </c>
      <c r="F2" t="s">
        <v>12</v>
      </c>
      <c r="G2" t="s">
        <v>13</v>
      </c>
      <c r="H2" t="s">
        <v>14</v>
      </c>
      <c r="I2" t="s">
        <v>15</v>
      </c>
      <c r="J2" t="s">
        <v>16</v>
      </c>
      <c r="K2">
        <v>20598.12</v>
      </c>
      <c r="L2">
        <v>0.209500025274518</v>
      </c>
      <c r="M2">
        <v>2020</v>
      </c>
      <c r="N2" t="s">
        <v>1171</v>
      </c>
      <c r="O2">
        <v>8</v>
      </c>
      <c r="P2" t="s">
        <v>1214</v>
      </c>
    </row>
    <row r="3" spans="1:16" x14ac:dyDescent="0.3">
      <c r="A3" t="s">
        <v>10</v>
      </c>
      <c r="B3">
        <v>106142.65</v>
      </c>
      <c r="C3">
        <v>88151.47</v>
      </c>
      <c r="D3" s="1">
        <v>43561</v>
      </c>
      <c r="E3" t="s">
        <v>11</v>
      </c>
      <c r="F3" t="s">
        <v>233</v>
      </c>
      <c r="G3" t="s">
        <v>13</v>
      </c>
      <c r="H3" t="s">
        <v>81</v>
      </c>
      <c r="I3" t="s">
        <v>27</v>
      </c>
      <c r="J3" t="s">
        <v>234</v>
      </c>
      <c r="K3">
        <v>17991.18</v>
      </c>
      <c r="L3">
        <v>0.169500007772559</v>
      </c>
      <c r="M3">
        <v>2019</v>
      </c>
      <c r="N3" t="s">
        <v>1172</v>
      </c>
      <c r="O3">
        <v>4</v>
      </c>
      <c r="P3" t="s">
        <v>1215</v>
      </c>
    </row>
    <row r="4" spans="1:16" x14ac:dyDescent="0.3">
      <c r="A4" t="s">
        <v>17</v>
      </c>
      <c r="B4">
        <v>46296.26</v>
      </c>
      <c r="C4">
        <v>40319.410000000003</v>
      </c>
      <c r="D4" s="1">
        <v>43966</v>
      </c>
      <c r="E4" t="s">
        <v>11</v>
      </c>
      <c r="F4" t="s">
        <v>18</v>
      </c>
      <c r="G4" t="s">
        <v>19</v>
      </c>
      <c r="H4" t="s">
        <v>20</v>
      </c>
      <c r="I4" t="s">
        <v>15</v>
      </c>
      <c r="J4" t="s">
        <v>21</v>
      </c>
      <c r="K4">
        <v>5976.85</v>
      </c>
      <c r="L4">
        <v>0.129100061214448</v>
      </c>
      <c r="M4">
        <v>2020</v>
      </c>
      <c r="N4" t="s">
        <v>1173</v>
      </c>
      <c r="O4">
        <v>5</v>
      </c>
      <c r="P4" t="s">
        <v>1215</v>
      </c>
    </row>
    <row r="5" spans="1:16" x14ac:dyDescent="0.3">
      <c r="A5" t="s">
        <v>17</v>
      </c>
      <c r="B5">
        <v>54079.040000000001</v>
      </c>
      <c r="C5">
        <v>45031.62</v>
      </c>
      <c r="D5" s="1">
        <v>43980</v>
      </c>
      <c r="E5" t="s">
        <v>11</v>
      </c>
      <c r="F5" t="s">
        <v>83</v>
      </c>
      <c r="G5" t="s">
        <v>19</v>
      </c>
      <c r="H5" t="s">
        <v>49</v>
      </c>
      <c r="I5" t="s">
        <v>27</v>
      </c>
      <c r="J5" t="s">
        <v>84</v>
      </c>
      <c r="K5">
        <v>9047.42</v>
      </c>
      <c r="L5">
        <v>0.16729993727699299</v>
      </c>
      <c r="M5">
        <v>2020</v>
      </c>
      <c r="N5" t="s">
        <v>1173</v>
      </c>
      <c r="O5">
        <v>5</v>
      </c>
      <c r="P5" t="s">
        <v>1215</v>
      </c>
    </row>
    <row r="6" spans="1:16" x14ac:dyDescent="0.3">
      <c r="A6" t="s">
        <v>17</v>
      </c>
      <c r="B6">
        <v>149500.60999999999</v>
      </c>
      <c r="C6">
        <v>125401.11</v>
      </c>
      <c r="D6" s="1">
        <v>44036</v>
      </c>
      <c r="E6" t="s">
        <v>11</v>
      </c>
      <c r="F6" t="s">
        <v>139</v>
      </c>
      <c r="G6" t="s">
        <v>19</v>
      </c>
      <c r="H6" t="s">
        <v>31</v>
      </c>
      <c r="I6" t="s">
        <v>27</v>
      </c>
      <c r="J6" t="s">
        <v>140</v>
      </c>
      <c r="K6">
        <v>24099.5</v>
      </c>
      <c r="L6">
        <v>0.161200011157145</v>
      </c>
      <c r="M6">
        <v>2020</v>
      </c>
      <c r="N6" t="s">
        <v>1174</v>
      </c>
      <c r="O6">
        <v>7</v>
      </c>
      <c r="P6" t="s">
        <v>1214</v>
      </c>
    </row>
    <row r="7" spans="1:16" x14ac:dyDescent="0.3">
      <c r="A7" t="s">
        <v>17</v>
      </c>
      <c r="B7">
        <v>146325.53</v>
      </c>
      <c r="C7">
        <v>118333.46</v>
      </c>
      <c r="D7" s="1">
        <v>44082</v>
      </c>
      <c r="E7" t="s">
        <v>11</v>
      </c>
      <c r="F7" t="s">
        <v>225</v>
      </c>
      <c r="G7" t="s">
        <v>19</v>
      </c>
      <c r="H7" t="s">
        <v>31</v>
      </c>
      <c r="I7" t="s">
        <v>27</v>
      </c>
      <c r="J7" t="s">
        <v>226</v>
      </c>
      <c r="K7">
        <v>27992.07</v>
      </c>
      <c r="L7">
        <v>0.19129997342227301</v>
      </c>
      <c r="M7">
        <v>2020</v>
      </c>
      <c r="N7" t="s">
        <v>1175</v>
      </c>
      <c r="O7">
        <v>9</v>
      </c>
      <c r="P7" t="s">
        <v>1216</v>
      </c>
    </row>
    <row r="8" spans="1:16" x14ac:dyDescent="0.3">
      <c r="A8" t="s">
        <v>22</v>
      </c>
      <c r="B8">
        <v>140337.34</v>
      </c>
      <c r="C8">
        <v>115708.14</v>
      </c>
      <c r="D8" s="1">
        <v>43930</v>
      </c>
      <c r="E8" t="s">
        <v>23</v>
      </c>
      <c r="F8" t="s">
        <v>24</v>
      </c>
      <c r="G8" t="s">
        <v>25</v>
      </c>
      <c r="H8" t="s">
        <v>26</v>
      </c>
      <c r="I8" t="s">
        <v>27</v>
      </c>
      <c r="J8" t="s">
        <v>28</v>
      </c>
      <c r="K8">
        <v>24629.200000000001</v>
      </c>
      <c r="L8">
        <v>0.175499977411571</v>
      </c>
      <c r="M8">
        <v>2020</v>
      </c>
      <c r="N8" t="s">
        <v>1172</v>
      </c>
      <c r="O8">
        <v>4</v>
      </c>
      <c r="P8" t="s">
        <v>1215</v>
      </c>
    </row>
    <row r="9" spans="1:16" x14ac:dyDescent="0.3">
      <c r="A9" t="s">
        <v>22</v>
      </c>
      <c r="B9">
        <v>168757.23</v>
      </c>
      <c r="C9">
        <v>136895.85999999999</v>
      </c>
      <c r="D9" s="1">
        <v>44067</v>
      </c>
      <c r="E9" t="s">
        <v>23</v>
      </c>
      <c r="F9" t="s">
        <v>41</v>
      </c>
      <c r="G9" t="s">
        <v>25</v>
      </c>
      <c r="H9" t="s">
        <v>52</v>
      </c>
      <c r="I9" t="s">
        <v>27</v>
      </c>
      <c r="J9" t="s">
        <v>85</v>
      </c>
      <c r="K9">
        <v>31861.37</v>
      </c>
      <c r="L9">
        <v>0.18880002948614399</v>
      </c>
      <c r="M9">
        <v>2020</v>
      </c>
      <c r="N9" t="s">
        <v>1171</v>
      </c>
      <c r="O9">
        <v>8</v>
      </c>
      <c r="P9" t="s">
        <v>1214</v>
      </c>
    </row>
    <row r="10" spans="1:16" x14ac:dyDescent="0.3">
      <c r="A10" t="s">
        <v>22</v>
      </c>
      <c r="B10">
        <v>138127.81</v>
      </c>
      <c r="C10">
        <v>115240.03</v>
      </c>
      <c r="D10" s="1">
        <v>43975</v>
      </c>
      <c r="E10" t="s">
        <v>23</v>
      </c>
      <c r="F10" t="s">
        <v>71</v>
      </c>
      <c r="G10" t="s">
        <v>25</v>
      </c>
      <c r="H10" t="s">
        <v>26</v>
      </c>
      <c r="I10" t="s">
        <v>27</v>
      </c>
      <c r="J10" t="s">
        <v>101</v>
      </c>
      <c r="K10">
        <v>22887.78</v>
      </c>
      <c r="L10">
        <v>0.165700013632302</v>
      </c>
      <c r="M10">
        <v>2020</v>
      </c>
      <c r="N10" t="s">
        <v>1173</v>
      </c>
      <c r="O10">
        <v>5</v>
      </c>
      <c r="P10" t="s">
        <v>1215</v>
      </c>
    </row>
    <row r="11" spans="1:16" x14ac:dyDescent="0.3">
      <c r="A11" t="s">
        <v>22</v>
      </c>
      <c r="B11">
        <v>41805.53</v>
      </c>
      <c r="C11">
        <v>33352.449999999997</v>
      </c>
      <c r="D11" s="1">
        <v>43547</v>
      </c>
      <c r="E11" t="s">
        <v>23</v>
      </c>
      <c r="F11" t="s">
        <v>183</v>
      </c>
      <c r="G11" t="s">
        <v>25</v>
      </c>
      <c r="H11" t="s">
        <v>87</v>
      </c>
      <c r="I11" t="s">
        <v>15</v>
      </c>
      <c r="J11" t="s">
        <v>184</v>
      </c>
      <c r="K11">
        <v>8453.08</v>
      </c>
      <c r="L11">
        <v>0.20220004386979401</v>
      </c>
      <c r="M11">
        <v>2019</v>
      </c>
      <c r="N11" t="s">
        <v>1176</v>
      </c>
      <c r="O11">
        <v>3</v>
      </c>
      <c r="P11" t="s">
        <v>1215</v>
      </c>
    </row>
    <row r="12" spans="1:16" x14ac:dyDescent="0.3">
      <c r="A12" t="s">
        <v>22</v>
      </c>
      <c r="B12">
        <v>228961.3</v>
      </c>
      <c r="C12">
        <v>183764.34</v>
      </c>
      <c r="D12" s="1">
        <v>43836</v>
      </c>
      <c r="E12" t="s">
        <v>23</v>
      </c>
      <c r="F12" t="s">
        <v>56</v>
      </c>
      <c r="G12" t="s">
        <v>25</v>
      </c>
      <c r="H12" t="s">
        <v>63</v>
      </c>
      <c r="I12" t="s">
        <v>27</v>
      </c>
      <c r="J12" t="s">
        <v>203</v>
      </c>
      <c r="K12">
        <v>45196.959999999999</v>
      </c>
      <c r="L12">
        <v>0.19739999729211899</v>
      </c>
      <c r="M12">
        <v>2020</v>
      </c>
      <c r="N12" t="s">
        <v>1177</v>
      </c>
      <c r="O12">
        <v>1</v>
      </c>
      <c r="P12" t="s">
        <v>1217</v>
      </c>
    </row>
    <row r="13" spans="1:16" x14ac:dyDescent="0.3">
      <c r="A13" t="s">
        <v>22</v>
      </c>
      <c r="B13">
        <v>138764.6</v>
      </c>
      <c r="C13">
        <v>111414.1</v>
      </c>
      <c r="D13" s="1">
        <v>44109</v>
      </c>
      <c r="E13" t="s">
        <v>23</v>
      </c>
      <c r="F13" t="s">
        <v>56</v>
      </c>
      <c r="G13" t="s">
        <v>25</v>
      </c>
      <c r="H13" t="s">
        <v>87</v>
      </c>
      <c r="I13" t="s">
        <v>27</v>
      </c>
      <c r="J13" t="s">
        <v>232</v>
      </c>
      <c r="K13">
        <v>27350.5</v>
      </c>
      <c r="L13">
        <v>0.19709998083084601</v>
      </c>
      <c r="M13">
        <v>2020</v>
      </c>
      <c r="N13" t="s">
        <v>1178</v>
      </c>
      <c r="O13">
        <v>10</v>
      </c>
      <c r="P13" t="s">
        <v>1216</v>
      </c>
    </row>
    <row r="14" spans="1:16" x14ac:dyDescent="0.3">
      <c r="A14" t="s">
        <v>22</v>
      </c>
      <c r="B14">
        <v>34930.080000000002</v>
      </c>
      <c r="C14">
        <v>28017.42</v>
      </c>
      <c r="D14" s="1">
        <v>43476</v>
      </c>
      <c r="E14" t="s">
        <v>23</v>
      </c>
      <c r="F14" t="s">
        <v>80</v>
      </c>
      <c r="G14" t="s">
        <v>25</v>
      </c>
      <c r="H14" t="s">
        <v>167</v>
      </c>
      <c r="I14" t="s">
        <v>27</v>
      </c>
      <c r="J14" t="s">
        <v>246</v>
      </c>
      <c r="K14">
        <v>6912.66</v>
      </c>
      <c r="L14">
        <v>0.197899918923747</v>
      </c>
      <c r="M14">
        <v>2019</v>
      </c>
      <c r="N14" t="s">
        <v>1177</v>
      </c>
      <c r="O14">
        <v>1</v>
      </c>
      <c r="P14" t="s">
        <v>1217</v>
      </c>
    </row>
    <row r="15" spans="1:16" x14ac:dyDescent="0.3">
      <c r="A15" t="s">
        <v>17</v>
      </c>
      <c r="B15">
        <v>203604.46</v>
      </c>
      <c r="C15">
        <v>175344.16</v>
      </c>
      <c r="D15" s="1">
        <v>43642</v>
      </c>
      <c r="E15" t="s">
        <v>29</v>
      </c>
      <c r="F15" t="s">
        <v>30</v>
      </c>
      <c r="G15" t="s">
        <v>19</v>
      </c>
      <c r="H15" t="s">
        <v>31</v>
      </c>
      <c r="I15" t="s">
        <v>32</v>
      </c>
      <c r="J15" t="s">
        <v>33</v>
      </c>
      <c r="K15">
        <v>28260.3</v>
      </c>
      <c r="L15">
        <v>0.138800004675733</v>
      </c>
      <c r="M15">
        <v>2019</v>
      </c>
      <c r="N15" t="s">
        <v>1179</v>
      </c>
      <c r="O15">
        <v>6</v>
      </c>
      <c r="P15" t="s">
        <v>1214</v>
      </c>
    </row>
    <row r="16" spans="1:16" x14ac:dyDescent="0.3">
      <c r="A16" t="s">
        <v>17</v>
      </c>
      <c r="B16">
        <v>310539</v>
      </c>
      <c r="C16">
        <v>248275.93</v>
      </c>
      <c r="D16" s="1">
        <v>44147</v>
      </c>
      <c r="E16" t="s">
        <v>29</v>
      </c>
      <c r="F16" t="s">
        <v>56</v>
      </c>
      <c r="G16" t="s">
        <v>19</v>
      </c>
      <c r="H16" t="s">
        <v>157</v>
      </c>
      <c r="I16" t="s">
        <v>27</v>
      </c>
      <c r="J16" t="s">
        <v>186</v>
      </c>
      <c r="K16">
        <v>62263.07</v>
      </c>
      <c r="L16">
        <v>0.20050000161010401</v>
      </c>
      <c r="M16">
        <v>2020</v>
      </c>
      <c r="N16" t="s">
        <v>1180</v>
      </c>
      <c r="O16">
        <v>11</v>
      </c>
      <c r="P16" t="s">
        <v>1216</v>
      </c>
    </row>
    <row r="17" spans="1:16" x14ac:dyDescent="0.3">
      <c r="A17" t="s">
        <v>17</v>
      </c>
      <c r="B17">
        <v>184221.2</v>
      </c>
      <c r="C17">
        <v>150324.5</v>
      </c>
      <c r="D17" s="1">
        <v>43631</v>
      </c>
      <c r="E17" t="s">
        <v>29</v>
      </c>
      <c r="F17" t="s">
        <v>106</v>
      </c>
      <c r="G17" t="s">
        <v>19</v>
      </c>
      <c r="H17" t="s">
        <v>20</v>
      </c>
      <c r="I17" t="s">
        <v>27</v>
      </c>
      <c r="J17" t="s">
        <v>193</v>
      </c>
      <c r="K17">
        <v>33896.699999999997</v>
      </c>
      <c r="L17">
        <v>0.183999995657394</v>
      </c>
      <c r="M17">
        <v>2019</v>
      </c>
      <c r="N17" t="s">
        <v>1179</v>
      </c>
      <c r="O17">
        <v>6</v>
      </c>
      <c r="P17" t="s">
        <v>1214</v>
      </c>
    </row>
    <row r="18" spans="1:16" x14ac:dyDescent="0.3">
      <c r="A18" t="s">
        <v>17</v>
      </c>
      <c r="B18">
        <v>148405.47</v>
      </c>
      <c r="C18">
        <v>128845.63</v>
      </c>
      <c r="D18" s="1">
        <v>43765</v>
      </c>
      <c r="E18" t="s">
        <v>29</v>
      </c>
      <c r="F18" t="s">
        <v>56</v>
      </c>
      <c r="G18" t="s">
        <v>19</v>
      </c>
      <c r="H18" t="s">
        <v>20</v>
      </c>
      <c r="I18" t="s">
        <v>27</v>
      </c>
      <c r="J18" t="s">
        <v>204</v>
      </c>
      <c r="K18">
        <v>19559.84</v>
      </c>
      <c r="L18">
        <v>0.13179999362557199</v>
      </c>
      <c r="M18">
        <v>2019</v>
      </c>
      <c r="N18" t="s">
        <v>1178</v>
      </c>
      <c r="O18">
        <v>10</v>
      </c>
      <c r="P18" t="s">
        <v>1216</v>
      </c>
    </row>
    <row r="19" spans="1:16" x14ac:dyDescent="0.3">
      <c r="A19" t="s">
        <v>17</v>
      </c>
      <c r="B19">
        <v>27400.69</v>
      </c>
      <c r="C19">
        <v>22832.99</v>
      </c>
      <c r="D19" s="1">
        <v>43726</v>
      </c>
      <c r="E19" t="s">
        <v>29</v>
      </c>
      <c r="F19" t="s">
        <v>77</v>
      </c>
      <c r="G19" t="s">
        <v>19</v>
      </c>
      <c r="H19" t="s">
        <v>78</v>
      </c>
      <c r="I19" t="s">
        <v>27</v>
      </c>
      <c r="J19" t="s">
        <v>241</v>
      </c>
      <c r="K19">
        <v>4567.7</v>
      </c>
      <c r="L19">
        <v>0.16670018163776201</v>
      </c>
      <c r="M19">
        <v>2019</v>
      </c>
      <c r="N19" t="s">
        <v>1175</v>
      </c>
      <c r="O19">
        <v>9</v>
      </c>
      <c r="P19" t="s">
        <v>1216</v>
      </c>
    </row>
    <row r="20" spans="1:16" x14ac:dyDescent="0.3">
      <c r="A20" t="s">
        <v>34</v>
      </c>
      <c r="B20">
        <v>63979.040000000001</v>
      </c>
      <c r="C20">
        <v>56032.84</v>
      </c>
      <c r="D20" s="1">
        <v>43760</v>
      </c>
      <c r="E20" t="s">
        <v>11</v>
      </c>
      <c r="F20" t="s">
        <v>35</v>
      </c>
      <c r="G20" t="s">
        <v>36</v>
      </c>
      <c r="H20" t="s">
        <v>37</v>
      </c>
      <c r="I20" t="s">
        <v>27</v>
      </c>
      <c r="J20" t="s">
        <v>38</v>
      </c>
      <c r="K20">
        <v>7946.2</v>
      </c>
      <c r="L20">
        <v>0.12420005051654399</v>
      </c>
      <c r="M20">
        <v>2019</v>
      </c>
      <c r="N20" t="s">
        <v>1178</v>
      </c>
      <c r="O20">
        <v>10</v>
      </c>
      <c r="P20" t="s">
        <v>1216</v>
      </c>
    </row>
    <row r="21" spans="1:16" x14ac:dyDescent="0.3">
      <c r="A21" t="s">
        <v>34</v>
      </c>
      <c r="B21">
        <v>63979.040000000001</v>
      </c>
      <c r="C21">
        <v>56032.84</v>
      </c>
      <c r="D21" s="1">
        <v>43760</v>
      </c>
      <c r="E21" t="s">
        <v>11</v>
      </c>
      <c r="F21" t="s">
        <v>35</v>
      </c>
      <c r="G21" t="s">
        <v>36</v>
      </c>
      <c r="H21" t="s">
        <v>37</v>
      </c>
      <c r="I21" t="s">
        <v>27</v>
      </c>
      <c r="J21" t="s">
        <v>38</v>
      </c>
      <c r="K21">
        <v>7946.2</v>
      </c>
      <c r="L21">
        <v>0.12420005051654399</v>
      </c>
      <c r="M21">
        <v>2019</v>
      </c>
      <c r="N21" t="s">
        <v>1178</v>
      </c>
      <c r="O21">
        <v>10</v>
      </c>
      <c r="P21" t="s">
        <v>1216</v>
      </c>
    </row>
    <row r="22" spans="1:16" x14ac:dyDescent="0.3">
      <c r="A22" t="s">
        <v>34</v>
      </c>
      <c r="B22">
        <v>53801.73</v>
      </c>
      <c r="C22">
        <v>46785.98</v>
      </c>
      <c r="D22" s="1">
        <v>43736</v>
      </c>
      <c r="E22" t="s">
        <v>11</v>
      </c>
      <c r="F22" t="s">
        <v>56</v>
      </c>
      <c r="G22" t="s">
        <v>36</v>
      </c>
      <c r="H22" t="s">
        <v>93</v>
      </c>
      <c r="I22" t="s">
        <v>27</v>
      </c>
      <c r="J22" t="s">
        <v>116</v>
      </c>
      <c r="K22">
        <v>7015.75</v>
      </c>
      <c r="L22">
        <v>0.130400081930451</v>
      </c>
      <c r="M22">
        <v>2019</v>
      </c>
      <c r="N22" t="s">
        <v>1175</v>
      </c>
      <c r="O22">
        <v>9</v>
      </c>
      <c r="P22" t="s">
        <v>1216</v>
      </c>
    </row>
    <row r="23" spans="1:16" x14ac:dyDescent="0.3">
      <c r="A23" t="s">
        <v>39</v>
      </c>
      <c r="B23">
        <v>127075.41</v>
      </c>
      <c r="C23">
        <v>110924.13</v>
      </c>
      <c r="D23" s="1">
        <v>43732</v>
      </c>
      <c r="E23" t="s">
        <v>40</v>
      </c>
      <c r="F23" t="s">
        <v>41</v>
      </c>
      <c r="G23" t="s">
        <v>42</v>
      </c>
      <c r="H23" t="s">
        <v>43</v>
      </c>
      <c r="I23" t="s">
        <v>27</v>
      </c>
      <c r="J23" t="s">
        <v>44</v>
      </c>
      <c r="K23">
        <v>16151.28</v>
      </c>
      <c r="L23">
        <v>0.127099963714459</v>
      </c>
      <c r="M23">
        <v>2019</v>
      </c>
      <c r="N23" t="s">
        <v>1175</v>
      </c>
      <c r="O23">
        <v>9</v>
      </c>
      <c r="P23" t="s">
        <v>1216</v>
      </c>
    </row>
    <row r="24" spans="1:16" x14ac:dyDescent="0.3">
      <c r="A24" t="s">
        <v>10</v>
      </c>
      <c r="B24">
        <v>69681.429999999993</v>
      </c>
      <c r="C24">
        <v>55529.13</v>
      </c>
      <c r="D24" s="1">
        <v>43855</v>
      </c>
      <c r="E24" t="s">
        <v>40</v>
      </c>
      <c r="F24" t="s">
        <v>45</v>
      </c>
      <c r="G24" t="s">
        <v>13</v>
      </c>
      <c r="H24" t="s">
        <v>46</v>
      </c>
      <c r="I24" t="s">
        <v>27</v>
      </c>
      <c r="J24" t="s">
        <v>47</v>
      </c>
      <c r="K24">
        <v>14152.3</v>
      </c>
      <c r="L24">
        <v>0.203100022488057</v>
      </c>
      <c r="M24">
        <v>2020</v>
      </c>
      <c r="N24" t="s">
        <v>1177</v>
      </c>
      <c r="O24">
        <v>1</v>
      </c>
      <c r="P24" t="s">
        <v>1217</v>
      </c>
    </row>
    <row r="25" spans="1:16" x14ac:dyDescent="0.3">
      <c r="A25" t="s">
        <v>10</v>
      </c>
      <c r="B25">
        <v>15817.05</v>
      </c>
      <c r="C25">
        <v>13743.44</v>
      </c>
      <c r="D25" s="1">
        <v>43741</v>
      </c>
      <c r="E25" t="s">
        <v>40</v>
      </c>
      <c r="F25" t="s">
        <v>80</v>
      </c>
      <c r="G25" t="s">
        <v>13</v>
      </c>
      <c r="H25" t="s">
        <v>81</v>
      </c>
      <c r="I25" t="s">
        <v>27</v>
      </c>
      <c r="J25" t="s">
        <v>82</v>
      </c>
      <c r="K25">
        <v>2073.61</v>
      </c>
      <c r="L25">
        <v>0.131099667763584</v>
      </c>
      <c r="M25">
        <v>2019</v>
      </c>
      <c r="N25" t="s">
        <v>1178</v>
      </c>
      <c r="O25">
        <v>10</v>
      </c>
      <c r="P25" t="s">
        <v>1216</v>
      </c>
    </row>
    <row r="26" spans="1:16" x14ac:dyDescent="0.3">
      <c r="A26" t="s">
        <v>17</v>
      </c>
      <c r="B26">
        <v>96795.99</v>
      </c>
      <c r="C26">
        <v>81395.75</v>
      </c>
      <c r="D26" s="1">
        <v>43637</v>
      </c>
      <c r="E26" t="s">
        <v>23</v>
      </c>
      <c r="F26" t="s">
        <v>48</v>
      </c>
      <c r="G26" t="s">
        <v>19</v>
      </c>
      <c r="H26" t="s">
        <v>49</v>
      </c>
      <c r="I26" t="s">
        <v>27</v>
      </c>
      <c r="J26" t="s">
        <v>50</v>
      </c>
      <c r="K26">
        <v>15400.24</v>
      </c>
      <c r="L26">
        <v>0.15909997924500799</v>
      </c>
      <c r="M26">
        <v>2019</v>
      </c>
      <c r="N26" t="s">
        <v>1179</v>
      </c>
      <c r="O26">
        <v>6</v>
      </c>
      <c r="P26" t="s">
        <v>1214</v>
      </c>
    </row>
    <row r="27" spans="1:16" x14ac:dyDescent="0.3">
      <c r="A27" t="s">
        <v>17</v>
      </c>
      <c r="B27">
        <v>162199.24</v>
      </c>
      <c r="C27">
        <v>130878.57</v>
      </c>
      <c r="D27" s="1">
        <v>44004</v>
      </c>
      <c r="E27" t="s">
        <v>23</v>
      </c>
      <c r="F27" t="s">
        <v>236</v>
      </c>
      <c r="G27" t="s">
        <v>19</v>
      </c>
      <c r="H27" t="s">
        <v>49</v>
      </c>
      <c r="I27" t="s">
        <v>27</v>
      </c>
      <c r="J27" t="s">
        <v>237</v>
      </c>
      <c r="K27">
        <v>31320.67</v>
      </c>
      <c r="L27">
        <v>0.193099979999906</v>
      </c>
      <c r="M27">
        <v>2020</v>
      </c>
      <c r="N27" t="s">
        <v>1179</v>
      </c>
      <c r="O27">
        <v>6</v>
      </c>
      <c r="P27" t="s">
        <v>1214</v>
      </c>
    </row>
    <row r="28" spans="1:16" x14ac:dyDescent="0.3">
      <c r="A28" t="s">
        <v>17</v>
      </c>
      <c r="B28">
        <v>75483.45</v>
      </c>
      <c r="C28">
        <v>60077.279999999999</v>
      </c>
      <c r="D28" s="1">
        <v>43536</v>
      </c>
      <c r="E28" t="s">
        <v>23</v>
      </c>
      <c r="F28" t="s">
        <v>56</v>
      </c>
      <c r="G28" t="s">
        <v>19</v>
      </c>
      <c r="H28" t="s">
        <v>157</v>
      </c>
      <c r="I28" t="s">
        <v>27</v>
      </c>
      <c r="J28" t="s">
        <v>242</v>
      </c>
      <c r="K28">
        <v>15406.17</v>
      </c>
      <c r="L28">
        <v>0.204099971583175</v>
      </c>
      <c r="M28">
        <v>2019</v>
      </c>
      <c r="N28" t="s">
        <v>1176</v>
      </c>
      <c r="O28">
        <v>3</v>
      </c>
      <c r="P28" t="s">
        <v>1215</v>
      </c>
    </row>
    <row r="29" spans="1:16" x14ac:dyDescent="0.3">
      <c r="A29" t="s">
        <v>22</v>
      </c>
      <c r="B29">
        <v>144725.34</v>
      </c>
      <c r="C29">
        <v>115056.65</v>
      </c>
      <c r="D29" s="1">
        <v>43480</v>
      </c>
      <c r="E29" t="s">
        <v>51</v>
      </c>
      <c r="F29" t="s">
        <v>18</v>
      </c>
      <c r="G29" t="s">
        <v>25</v>
      </c>
      <c r="H29" t="s">
        <v>52</v>
      </c>
      <c r="I29" t="s">
        <v>27</v>
      </c>
      <c r="J29" t="s">
        <v>53</v>
      </c>
      <c r="K29">
        <v>29668.69</v>
      </c>
      <c r="L29">
        <v>0.20499996752469199</v>
      </c>
      <c r="M29">
        <v>2019</v>
      </c>
      <c r="N29" t="s">
        <v>1177</v>
      </c>
      <c r="O29">
        <v>1</v>
      </c>
      <c r="P29" t="s">
        <v>1217</v>
      </c>
    </row>
    <row r="30" spans="1:16" x14ac:dyDescent="0.3">
      <c r="A30" t="s">
        <v>22</v>
      </c>
      <c r="B30">
        <v>159057.92000000001</v>
      </c>
      <c r="C30">
        <v>139923.25</v>
      </c>
      <c r="D30" s="1">
        <v>44128</v>
      </c>
      <c r="E30" t="s">
        <v>51</v>
      </c>
      <c r="F30" t="s">
        <v>56</v>
      </c>
      <c r="G30" t="s">
        <v>25</v>
      </c>
      <c r="H30" t="s">
        <v>87</v>
      </c>
      <c r="I30" t="s">
        <v>27</v>
      </c>
      <c r="J30" t="s">
        <v>161</v>
      </c>
      <c r="K30">
        <v>19134.669999999998</v>
      </c>
      <c r="L30">
        <v>0.12030001398232799</v>
      </c>
      <c r="M30">
        <v>2020</v>
      </c>
      <c r="N30" t="s">
        <v>1178</v>
      </c>
      <c r="O30">
        <v>10</v>
      </c>
      <c r="P30" t="s">
        <v>1216</v>
      </c>
    </row>
    <row r="31" spans="1:16" x14ac:dyDescent="0.3">
      <c r="A31" t="s">
        <v>22</v>
      </c>
      <c r="B31">
        <v>108412.76</v>
      </c>
      <c r="C31">
        <v>88594.91</v>
      </c>
      <c r="D31" s="1">
        <v>43532</v>
      </c>
      <c r="E31" t="s">
        <v>51</v>
      </c>
      <c r="F31" t="s">
        <v>164</v>
      </c>
      <c r="G31" t="s">
        <v>25</v>
      </c>
      <c r="H31" t="s">
        <v>26</v>
      </c>
      <c r="I31" t="s">
        <v>32</v>
      </c>
      <c r="J31" t="s">
        <v>165</v>
      </c>
      <c r="K31">
        <v>19817.849999999999</v>
      </c>
      <c r="L31">
        <v>0.182799976681712</v>
      </c>
      <c r="M31">
        <v>2019</v>
      </c>
      <c r="N31" t="s">
        <v>1176</v>
      </c>
      <c r="O31">
        <v>3</v>
      </c>
      <c r="P31" t="s">
        <v>1215</v>
      </c>
    </row>
    <row r="32" spans="1:16" x14ac:dyDescent="0.3">
      <c r="A32" t="s">
        <v>22</v>
      </c>
      <c r="B32">
        <v>183363.6</v>
      </c>
      <c r="C32">
        <v>155033.92000000001</v>
      </c>
      <c r="D32" s="1">
        <v>43640</v>
      </c>
      <c r="E32" t="s">
        <v>51</v>
      </c>
      <c r="F32" t="s">
        <v>56</v>
      </c>
      <c r="G32" t="s">
        <v>25</v>
      </c>
      <c r="H32" t="s">
        <v>63</v>
      </c>
      <c r="I32" t="s">
        <v>27</v>
      </c>
      <c r="J32" t="s">
        <v>209</v>
      </c>
      <c r="K32">
        <v>28329.68</v>
      </c>
      <c r="L32">
        <v>0.15450002072385099</v>
      </c>
      <c r="M32">
        <v>2019</v>
      </c>
      <c r="N32" t="s">
        <v>1179</v>
      </c>
      <c r="O32">
        <v>6</v>
      </c>
      <c r="P32" t="s">
        <v>1214</v>
      </c>
    </row>
    <row r="33" spans="1:16" x14ac:dyDescent="0.3">
      <c r="A33" t="s">
        <v>22</v>
      </c>
      <c r="B33">
        <v>111639.29</v>
      </c>
      <c r="C33">
        <v>97204.33</v>
      </c>
      <c r="D33" s="1">
        <v>43766</v>
      </c>
      <c r="E33" t="s">
        <v>51</v>
      </c>
      <c r="F33" t="s">
        <v>214</v>
      </c>
      <c r="G33" t="s">
        <v>25</v>
      </c>
      <c r="H33" t="s">
        <v>63</v>
      </c>
      <c r="I33" t="s">
        <v>27</v>
      </c>
      <c r="J33" t="s">
        <v>215</v>
      </c>
      <c r="K33">
        <v>14434.96</v>
      </c>
      <c r="L33">
        <v>0.12929999823538799</v>
      </c>
      <c r="M33">
        <v>2019</v>
      </c>
      <c r="N33" t="s">
        <v>1178</v>
      </c>
      <c r="O33">
        <v>10</v>
      </c>
      <c r="P33" t="s">
        <v>1216</v>
      </c>
    </row>
    <row r="34" spans="1:16" x14ac:dyDescent="0.3">
      <c r="A34" t="s">
        <v>54</v>
      </c>
      <c r="B34">
        <v>32695.37</v>
      </c>
      <c r="C34">
        <v>26375.35</v>
      </c>
      <c r="D34" s="1">
        <v>44163</v>
      </c>
      <c r="E34" t="s">
        <v>55</v>
      </c>
      <c r="F34" t="s">
        <v>56</v>
      </c>
      <c r="G34" t="s">
        <v>57</v>
      </c>
      <c r="H34" t="s">
        <v>58</v>
      </c>
      <c r="I34" t="s">
        <v>32</v>
      </c>
      <c r="J34" t="s">
        <v>59</v>
      </c>
      <c r="K34">
        <v>6320.02</v>
      </c>
      <c r="L34">
        <v>0.19330015228455899</v>
      </c>
      <c r="M34">
        <v>2020</v>
      </c>
      <c r="N34" t="s">
        <v>1180</v>
      </c>
      <c r="O34">
        <v>11</v>
      </c>
      <c r="P34" t="s">
        <v>1216</v>
      </c>
    </row>
    <row r="35" spans="1:16" x14ac:dyDescent="0.3">
      <c r="A35" t="s">
        <v>22</v>
      </c>
      <c r="B35">
        <v>121318.55</v>
      </c>
      <c r="C35">
        <v>102890.26</v>
      </c>
      <c r="D35" s="1">
        <v>44107</v>
      </c>
      <c r="E35" t="s">
        <v>29</v>
      </c>
      <c r="F35" t="s">
        <v>60</v>
      </c>
      <c r="G35" t="s">
        <v>25</v>
      </c>
      <c r="H35" t="s">
        <v>52</v>
      </c>
      <c r="I35" t="s">
        <v>15</v>
      </c>
      <c r="J35" t="s">
        <v>61</v>
      </c>
      <c r="K35">
        <v>18428.29</v>
      </c>
      <c r="L35">
        <v>0.15190001858742999</v>
      </c>
      <c r="M35">
        <v>2020</v>
      </c>
      <c r="N35" t="s">
        <v>1178</v>
      </c>
      <c r="O35">
        <v>10</v>
      </c>
      <c r="P35" t="s">
        <v>1216</v>
      </c>
    </row>
    <row r="36" spans="1:16" x14ac:dyDescent="0.3">
      <c r="A36" t="s">
        <v>22</v>
      </c>
      <c r="B36">
        <v>206869.73</v>
      </c>
      <c r="C36">
        <v>180928.27</v>
      </c>
      <c r="D36" s="1">
        <v>44032</v>
      </c>
      <c r="E36" t="s">
        <v>29</v>
      </c>
      <c r="F36" t="s">
        <v>102</v>
      </c>
      <c r="G36" t="s">
        <v>25</v>
      </c>
      <c r="H36" t="s">
        <v>26</v>
      </c>
      <c r="I36" t="s">
        <v>27</v>
      </c>
      <c r="J36" t="s">
        <v>103</v>
      </c>
      <c r="K36">
        <v>25941.46</v>
      </c>
      <c r="L36">
        <v>0.125399979977738</v>
      </c>
      <c r="M36">
        <v>2020</v>
      </c>
      <c r="N36" t="s">
        <v>1174</v>
      </c>
      <c r="O36">
        <v>7</v>
      </c>
      <c r="P36" t="s">
        <v>1214</v>
      </c>
    </row>
    <row r="37" spans="1:16" x14ac:dyDescent="0.3">
      <c r="A37" t="s">
        <v>22</v>
      </c>
      <c r="B37">
        <v>100469.75</v>
      </c>
      <c r="C37">
        <v>82566.039999999994</v>
      </c>
      <c r="D37" s="1">
        <v>43602</v>
      </c>
      <c r="E37" t="s">
        <v>29</v>
      </c>
      <c r="F37" t="s">
        <v>56</v>
      </c>
      <c r="G37" t="s">
        <v>25</v>
      </c>
      <c r="H37" t="s">
        <v>52</v>
      </c>
      <c r="I37" t="s">
        <v>27</v>
      </c>
      <c r="J37" t="s">
        <v>118</v>
      </c>
      <c r="K37">
        <v>17903.71</v>
      </c>
      <c r="L37">
        <v>0.17820000547428499</v>
      </c>
      <c r="M37">
        <v>2019</v>
      </c>
      <c r="N37" t="s">
        <v>1173</v>
      </c>
      <c r="O37">
        <v>5</v>
      </c>
      <c r="P37" t="s">
        <v>1215</v>
      </c>
    </row>
    <row r="38" spans="1:16" x14ac:dyDescent="0.3">
      <c r="A38" t="s">
        <v>22</v>
      </c>
      <c r="B38">
        <v>64762.89</v>
      </c>
      <c r="C38">
        <v>54238.92</v>
      </c>
      <c r="D38" s="1">
        <v>43618</v>
      </c>
      <c r="E38" t="s">
        <v>29</v>
      </c>
      <c r="F38" t="s">
        <v>35</v>
      </c>
      <c r="G38" t="s">
        <v>25</v>
      </c>
      <c r="H38" t="s">
        <v>63</v>
      </c>
      <c r="I38" t="s">
        <v>27</v>
      </c>
      <c r="J38" t="s">
        <v>192</v>
      </c>
      <c r="K38">
        <v>10523.97</v>
      </c>
      <c r="L38">
        <v>0.16250000579035301</v>
      </c>
      <c r="M38">
        <v>2019</v>
      </c>
      <c r="N38" t="s">
        <v>1179</v>
      </c>
      <c r="O38">
        <v>6</v>
      </c>
      <c r="P38" t="s">
        <v>1214</v>
      </c>
    </row>
    <row r="39" spans="1:16" x14ac:dyDescent="0.3">
      <c r="A39" t="s">
        <v>22</v>
      </c>
      <c r="B39">
        <v>147092.62</v>
      </c>
      <c r="C39">
        <v>117806.48</v>
      </c>
      <c r="D39" s="1">
        <v>44135</v>
      </c>
      <c r="E39" t="s">
        <v>40</v>
      </c>
      <c r="F39" t="s">
        <v>62</v>
      </c>
      <c r="G39" t="s">
        <v>25</v>
      </c>
      <c r="H39" t="s">
        <v>63</v>
      </c>
      <c r="I39" t="s">
        <v>27</v>
      </c>
      <c r="J39" t="s">
        <v>64</v>
      </c>
      <c r="K39">
        <v>29286.14</v>
      </c>
      <c r="L39">
        <v>0.19909999563540301</v>
      </c>
      <c r="M39">
        <v>2020</v>
      </c>
      <c r="N39" t="s">
        <v>1178</v>
      </c>
      <c r="O39">
        <v>10</v>
      </c>
      <c r="P39" t="s">
        <v>1216</v>
      </c>
    </row>
    <row r="40" spans="1:16" x14ac:dyDescent="0.3">
      <c r="A40" t="s">
        <v>22</v>
      </c>
      <c r="B40">
        <v>121928.48</v>
      </c>
      <c r="C40">
        <v>98408.48</v>
      </c>
      <c r="D40" s="1">
        <v>43727</v>
      </c>
      <c r="E40" t="s">
        <v>40</v>
      </c>
      <c r="F40" t="s">
        <v>97</v>
      </c>
      <c r="G40" t="s">
        <v>25</v>
      </c>
      <c r="H40" t="s">
        <v>87</v>
      </c>
      <c r="I40" t="s">
        <v>32</v>
      </c>
      <c r="J40" t="s">
        <v>98</v>
      </c>
      <c r="K40">
        <v>23520</v>
      </c>
      <c r="L40">
        <v>0.19289996889980099</v>
      </c>
      <c r="M40">
        <v>2019</v>
      </c>
      <c r="N40" t="s">
        <v>1175</v>
      </c>
      <c r="O40">
        <v>9</v>
      </c>
      <c r="P40" t="s">
        <v>1216</v>
      </c>
    </row>
    <row r="41" spans="1:16" x14ac:dyDescent="0.3">
      <c r="A41" t="s">
        <v>22</v>
      </c>
      <c r="B41">
        <v>92698.45</v>
      </c>
      <c r="C41">
        <v>73454.25</v>
      </c>
      <c r="D41" s="1">
        <v>43843</v>
      </c>
      <c r="E41" t="s">
        <v>40</v>
      </c>
      <c r="F41" t="s">
        <v>106</v>
      </c>
      <c r="G41" t="s">
        <v>25</v>
      </c>
      <c r="H41" t="s">
        <v>26</v>
      </c>
      <c r="I41" t="s">
        <v>27</v>
      </c>
      <c r="J41" t="s">
        <v>107</v>
      </c>
      <c r="K41">
        <v>19244.2</v>
      </c>
      <c r="L41">
        <v>0.20760001920204699</v>
      </c>
      <c r="M41">
        <v>2020</v>
      </c>
      <c r="N41" t="s">
        <v>1177</v>
      </c>
      <c r="O41">
        <v>1</v>
      </c>
      <c r="P41" t="s">
        <v>1217</v>
      </c>
    </row>
    <row r="42" spans="1:16" x14ac:dyDescent="0.3">
      <c r="A42" t="s">
        <v>22</v>
      </c>
      <c r="B42">
        <v>159514.03</v>
      </c>
      <c r="C42">
        <v>138872.91</v>
      </c>
      <c r="D42" s="1">
        <v>44097</v>
      </c>
      <c r="E42" t="s">
        <v>40</v>
      </c>
      <c r="F42" t="s">
        <v>106</v>
      </c>
      <c r="G42" t="s">
        <v>25</v>
      </c>
      <c r="H42" t="s">
        <v>52</v>
      </c>
      <c r="I42" t="s">
        <v>27</v>
      </c>
      <c r="J42" t="s">
        <v>128</v>
      </c>
      <c r="K42">
        <v>20641.12</v>
      </c>
      <c r="L42">
        <v>0.12940002832352701</v>
      </c>
      <c r="M42">
        <v>2020</v>
      </c>
      <c r="N42" t="s">
        <v>1175</v>
      </c>
      <c r="O42">
        <v>9</v>
      </c>
      <c r="P42" t="s">
        <v>1216</v>
      </c>
    </row>
    <row r="43" spans="1:16" x14ac:dyDescent="0.3">
      <c r="A43" t="s">
        <v>22</v>
      </c>
      <c r="B43">
        <v>93902.04</v>
      </c>
      <c r="C43">
        <v>80793.31</v>
      </c>
      <c r="D43" s="1">
        <v>43833</v>
      </c>
      <c r="E43" t="s">
        <v>40</v>
      </c>
      <c r="F43" t="s">
        <v>133</v>
      </c>
      <c r="G43" t="s">
        <v>25</v>
      </c>
      <c r="H43" t="s">
        <v>52</v>
      </c>
      <c r="I43" t="s">
        <v>27</v>
      </c>
      <c r="J43" t="s">
        <v>185</v>
      </c>
      <c r="K43">
        <v>13108.73</v>
      </c>
      <c r="L43">
        <v>0.139600055547249</v>
      </c>
      <c r="M43">
        <v>2020</v>
      </c>
      <c r="N43" t="s">
        <v>1177</v>
      </c>
      <c r="O43">
        <v>1</v>
      </c>
      <c r="P43" t="s">
        <v>1217</v>
      </c>
    </row>
    <row r="44" spans="1:16" x14ac:dyDescent="0.3">
      <c r="A44" t="s">
        <v>22</v>
      </c>
      <c r="B44">
        <v>187874.45</v>
      </c>
      <c r="C44">
        <v>160031.46</v>
      </c>
      <c r="D44" s="1">
        <v>43642</v>
      </c>
      <c r="E44" t="s">
        <v>55</v>
      </c>
      <c r="F44" t="s">
        <v>56</v>
      </c>
      <c r="G44" t="s">
        <v>25</v>
      </c>
      <c r="H44" t="s">
        <v>63</v>
      </c>
      <c r="I44" t="s">
        <v>27</v>
      </c>
      <c r="J44" t="s">
        <v>65</v>
      </c>
      <c r="K44">
        <v>27842.99</v>
      </c>
      <c r="L44">
        <v>0.148199981423765</v>
      </c>
      <c r="M44">
        <v>2019</v>
      </c>
      <c r="N44" t="s">
        <v>1179</v>
      </c>
      <c r="O44">
        <v>6</v>
      </c>
      <c r="P44" t="s">
        <v>1214</v>
      </c>
    </row>
    <row r="45" spans="1:16" x14ac:dyDescent="0.3">
      <c r="A45" t="s">
        <v>22</v>
      </c>
      <c r="B45">
        <v>116774.43</v>
      </c>
      <c r="C45">
        <v>98954.65</v>
      </c>
      <c r="D45" s="1">
        <v>43576</v>
      </c>
      <c r="E45" t="s">
        <v>55</v>
      </c>
      <c r="F45" t="s">
        <v>41</v>
      </c>
      <c r="G45" t="s">
        <v>25</v>
      </c>
      <c r="H45" t="s">
        <v>63</v>
      </c>
      <c r="I45" t="s">
        <v>32</v>
      </c>
      <c r="J45" t="s">
        <v>239</v>
      </c>
      <c r="K45">
        <v>17819.78</v>
      </c>
      <c r="L45">
        <v>0.15260001697289399</v>
      </c>
      <c r="M45">
        <v>2019</v>
      </c>
      <c r="N45" t="s">
        <v>1172</v>
      </c>
      <c r="O45">
        <v>4</v>
      </c>
      <c r="P45" t="s">
        <v>1215</v>
      </c>
    </row>
    <row r="46" spans="1:16" x14ac:dyDescent="0.3">
      <c r="A46" t="s">
        <v>66</v>
      </c>
      <c r="B46">
        <v>256603.66</v>
      </c>
      <c r="C46">
        <v>209799.15</v>
      </c>
      <c r="D46" s="1">
        <v>43673</v>
      </c>
      <c r="E46" t="s">
        <v>51</v>
      </c>
      <c r="F46" t="s">
        <v>67</v>
      </c>
      <c r="G46" t="s">
        <v>68</v>
      </c>
      <c r="H46" t="s">
        <v>69</v>
      </c>
      <c r="I46" t="s">
        <v>15</v>
      </c>
      <c r="J46" t="s">
        <v>70</v>
      </c>
      <c r="K46">
        <v>46804.51</v>
      </c>
      <c r="L46">
        <v>0.18240000941529799</v>
      </c>
      <c r="M46">
        <v>2019</v>
      </c>
      <c r="N46" t="s">
        <v>1174</v>
      </c>
      <c r="O46">
        <v>7</v>
      </c>
      <c r="P46" t="s">
        <v>1214</v>
      </c>
    </row>
    <row r="47" spans="1:16" x14ac:dyDescent="0.3">
      <c r="A47" t="s">
        <v>10</v>
      </c>
      <c r="B47">
        <v>69626.39</v>
      </c>
      <c r="C47">
        <v>57295.56</v>
      </c>
      <c r="D47" s="1">
        <v>43631</v>
      </c>
      <c r="E47" t="s">
        <v>29</v>
      </c>
      <c r="F47" t="s">
        <v>71</v>
      </c>
      <c r="G47" t="s">
        <v>13</v>
      </c>
      <c r="H47" t="s">
        <v>72</v>
      </c>
      <c r="I47" t="s">
        <v>27</v>
      </c>
      <c r="J47" t="s">
        <v>73</v>
      </c>
      <c r="K47">
        <v>12330.83</v>
      </c>
      <c r="L47">
        <v>0.17709994730446299</v>
      </c>
      <c r="M47">
        <v>2019</v>
      </c>
      <c r="N47" t="s">
        <v>1179</v>
      </c>
      <c r="O47">
        <v>6</v>
      </c>
      <c r="P47" t="s">
        <v>1214</v>
      </c>
    </row>
    <row r="48" spans="1:16" x14ac:dyDescent="0.3">
      <c r="A48" t="s">
        <v>10</v>
      </c>
      <c r="B48">
        <v>94085.5</v>
      </c>
      <c r="C48">
        <v>77498.23</v>
      </c>
      <c r="D48" s="1">
        <v>43849</v>
      </c>
      <c r="E48" t="s">
        <v>29</v>
      </c>
      <c r="F48" t="s">
        <v>109</v>
      </c>
      <c r="G48" t="s">
        <v>13</v>
      </c>
      <c r="H48" t="s">
        <v>110</v>
      </c>
      <c r="I48" t="s">
        <v>27</v>
      </c>
      <c r="J48" t="s">
        <v>111</v>
      </c>
      <c r="K48">
        <v>16587.27</v>
      </c>
      <c r="L48">
        <v>0.17629996120549901</v>
      </c>
      <c r="M48">
        <v>2020</v>
      </c>
      <c r="N48" t="s">
        <v>1177</v>
      </c>
      <c r="O48">
        <v>1</v>
      </c>
      <c r="P48" t="s">
        <v>1217</v>
      </c>
    </row>
    <row r="49" spans="1:16" x14ac:dyDescent="0.3">
      <c r="A49" t="s">
        <v>10</v>
      </c>
      <c r="B49">
        <v>239423.57</v>
      </c>
      <c r="C49">
        <v>199152.52</v>
      </c>
      <c r="D49" s="1">
        <v>43689</v>
      </c>
      <c r="E49" t="s">
        <v>29</v>
      </c>
      <c r="F49" t="s">
        <v>71</v>
      </c>
      <c r="G49" t="s">
        <v>13</v>
      </c>
      <c r="H49" t="s">
        <v>72</v>
      </c>
      <c r="I49" t="s">
        <v>32</v>
      </c>
      <c r="J49" t="s">
        <v>115</v>
      </c>
      <c r="K49">
        <v>40271.050000000003</v>
      </c>
      <c r="L49">
        <v>0.168200023080434</v>
      </c>
      <c r="M49">
        <v>2019</v>
      </c>
      <c r="N49" t="s">
        <v>1171</v>
      </c>
      <c r="O49">
        <v>8</v>
      </c>
      <c r="P49" t="s">
        <v>1214</v>
      </c>
    </row>
    <row r="50" spans="1:16" x14ac:dyDescent="0.3">
      <c r="A50" t="s">
        <v>10</v>
      </c>
      <c r="B50">
        <v>178304.35</v>
      </c>
      <c r="C50">
        <v>153573.54</v>
      </c>
      <c r="D50" s="1">
        <v>44086</v>
      </c>
      <c r="E50" t="s">
        <v>29</v>
      </c>
      <c r="F50" t="s">
        <v>174</v>
      </c>
      <c r="G50" t="s">
        <v>13</v>
      </c>
      <c r="H50" t="s">
        <v>14</v>
      </c>
      <c r="I50" t="s">
        <v>27</v>
      </c>
      <c r="J50" t="s">
        <v>175</v>
      </c>
      <c r="K50">
        <v>24730.81</v>
      </c>
      <c r="L50">
        <v>0.13869998123994201</v>
      </c>
      <c r="M50">
        <v>2020</v>
      </c>
      <c r="N50" t="s">
        <v>1175</v>
      </c>
      <c r="O50">
        <v>9</v>
      </c>
      <c r="P50" t="s">
        <v>1216</v>
      </c>
    </row>
    <row r="51" spans="1:16" x14ac:dyDescent="0.3">
      <c r="A51" t="s">
        <v>22</v>
      </c>
      <c r="B51">
        <v>153029.72</v>
      </c>
      <c r="C51">
        <v>125117.1</v>
      </c>
      <c r="D51" s="1">
        <v>43858</v>
      </c>
      <c r="E51" t="s">
        <v>11</v>
      </c>
      <c r="F51" t="s">
        <v>74</v>
      </c>
      <c r="G51" t="s">
        <v>25</v>
      </c>
      <c r="H51" t="s">
        <v>26</v>
      </c>
      <c r="I51" t="s">
        <v>27</v>
      </c>
      <c r="J51" t="s">
        <v>75</v>
      </c>
      <c r="K51">
        <v>27912.62</v>
      </c>
      <c r="L51">
        <v>0.18239999393581799</v>
      </c>
      <c r="M51">
        <v>2020</v>
      </c>
      <c r="N51" t="s">
        <v>1177</v>
      </c>
      <c r="O51">
        <v>1</v>
      </c>
      <c r="P51" t="s">
        <v>1217</v>
      </c>
    </row>
    <row r="52" spans="1:16" x14ac:dyDescent="0.3">
      <c r="A52" t="s">
        <v>22</v>
      </c>
      <c r="B52">
        <v>171884</v>
      </c>
      <c r="C52">
        <v>146702.99</v>
      </c>
      <c r="D52" s="1">
        <v>43751</v>
      </c>
      <c r="E52" t="s">
        <v>11</v>
      </c>
      <c r="F52" t="s">
        <v>56</v>
      </c>
      <c r="G52" t="s">
        <v>25</v>
      </c>
      <c r="H52" t="s">
        <v>167</v>
      </c>
      <c r="I52" t="s">
        <v>27</v>
      </c>
      <c r="J52" t="s">
        <v>168</v>
      </c>
      <c r="K52">
        <v>25181.01</v>
      </c>
      <c r="L52">
        <v>0.14650002327150899</v>
      </c>
      <c r="M52">
        <v>2019</v>
      </c>
      <c r="N52" t="s">
        <v>1178</v>
      </c>
      <c r="O52">
        <v>10</v>
      </c>
      <c r="P52" t="s">
        <v>1216</v>
      </c>
    </row>
    <row r="53" spans="1:16" x14ac:dyDescent="0.3">
      <c r="A53" t="s">
        <v>22</v>
      </c>
      <c r="B53">
        <v>38494.71</v>
      </c>
      <c r="C53">
        <v>33113.15</v>
      </c>
      <c r="D53" s="1">
        <v>43557</v>
      </c>
      <c r="E53" t="s">
        <v>11</v>
      </c>
      <c r="F53" t="s">
        <v>18</v>
      </c>
      <c r="G53" t="s">
        <v>25</v>
      </c>
      <c r="H53" t="s">
        <v>63</v>
      </c>
      <c r="I53" t="s">
        <v>27</v>
      </c>
      <c r="J53" t="s">
        <v>176</v>
      </c>
      <c r="K53">
        <v>5381.56</v>
      </c>
      <c r="L53">
        <v>0.13979998810226099</v>
      </c>
      <c r="M53">
        <v>2019</v>
      </c>
      <c r="N53" t="s">
        <v>1172</v>
      </c>
      <c r="O53">
        <v>4</v>
      </c>
      <c r="P53" t="s">
        <v>1215</v>
      </c>
    </row>
    <row r="54" spans="1:16" x14ac:dyDescent="0.3">
      <c r="A54" t="s">
        <v>22</v>
      </c>
      <c r="B54">
        <v>116157.89</v>
      </c>
      <c r="C54">
        <v>97166.07</v>
      </c>
      <c r="D54" s="1">
        <v>43783</v>
      </c>
      <c r="E54" t="s">
        <v>11</v>
      </c>
      <c r="F54" t="s">
        <v>177</v>
      </c>
      <c r="G54" t="s">
        <v>25</v>
      </c>
      <c r="H54" t="s">
        <v>63</v>
      </c>
      <c r="I54" t="s">
        <v>27</v>
      </c>
      <c r="J54" t="s">
        <v>178</v>
      </c>
      <c r="K54">
        <v>18991.82</v>
      </c>
      <c r="L54">
        <v>0.16350004291572401</v>
      </c>
      <c r="M54">
        <v>2019</v>
      </c>
      <c r="N54" t="s">
        <v>1180</v>
      </c>
      <c r="O54">
        <v>11</v>
      </c>
      <c r="P54" t="s">
        <v>1216</v>
      </c>
    </row>
    <row r="55" spans="1:16" x14ac:dyDescent="0.3">
      <c r="A55" t="s">
        <v>22</v>
      </c>
      <c r="B55">
        <v>69750.570000000007</v>
      </c>
      <c r="C55">
        <v>60731.82</v>
      </c>
      <c r="D55" s="1">
        <v>43543</v>
      </c>
      <c r="E55" t="s">
        <v>11</v>
      </c>
      <c r="F55" t="s">
        <v>56</v>
      </c>
      <c r="G55" t="s">
        <v>25</v>
      </c>
      <c r="H55" t="s">
        <v>63</v>
      </c>
      <c r="I55" t="s">
        <v>27</v>
      </c>
      <c r="J55" t="s">
        <v>202</v>
      </c>
      <c r="K55">
        <v>9018.75</v>
      </c>
      <c r="L55">
        <v>0.12930001862350399</v>
      </c>
      <c r="M55">
        <v>2019</v>
      </c>
      <c r="N55" t="s">
        <v>1176</v>
      </c>
      <c r="O55">
        <v>3</v>
      </c>
      <c r="P55" t="s">
        <v>1215</v>
      </c>
    </row>
    <row r="56" spans="1:16" x14ac:dyDescent="0.3">
      <c r="A56" t="s">
        <v>17</v>
      </c>
      <c r="B56">
        <v>65193.88</v>
      </c>
      <c r="C56">
        <v>53113.45</v>
      </c>
      <c r="D56" s="1">
        <v>43565</v>
      </c>
      <c r="E56" t="s">
        <v>76</v>
      </c>
      <c r="F56" t="s">
        <v>77</v>
      </c>
      <c r="G56" t="s">
        <v>19</v>
      </c>
      <c r="H56" t="s">
        <v>78</v>
      </c>
      <c r="I56" t="s">
        <v>27</v>
      </c>
      <c r="J56" t="s">
        <v>79</v>
      </c>
      <c r="K56">
        <v>12080.43</v>
      </c>
      <c r="L56">
        <v>0.185300061907651</v>
      </c>
      <c r="M56">
        <v>2019</v>
      </c>
      <c r="N56" t="s">
        <v>1172</v>
      </c>
      <c r="O56">
        <v>4</v>
      </c>
      <c r="P56" t="s">
        <v>1215</v>
      </c>
    </row>
    <row r="57" spans="1:16" x14ac:dyDescent="0.3">
      <c r="A57" t="s">
        <v>17</v>
      </c>
      <c r="B57">
        <v>89160.66</v>
      </c>
      <c r="C57">
        <v>75367.509999999995</v>
      </c>
      <c r="D57" s="1">
        <v>43787</v>
      </c>
      <c r="E57" t="s">
        <v>76</v>
      </c>
      <c r="F57" t="s">
        <v>89</v>
      </c>
      <c r="G57" t="s">
        <v>19</v>
      </c>
      <c r="H57" t="s">
        <v>31</v>
      </c>
      <c r="I57" t="s">
        <v>27</v>
      </c>
      <c r="J57" t="s">
        <v>90</v>
      </c>
      <c r="K57">
        <v>13793.15</v>
      </c>
      <c r="L57">
        <v>0.154699953993162</v>
      </c>
      <c r="M57">
        <v>2019</v>
      </c>
      <c r="N57" t="s">
        <v>1180</v>
      </c>
      <c r="O57">
        <v>11</v>
      </c>
      <c r="P57" t="s">
        <v>1216</v>
      </c>
    </row>
    <row r="58" spans="1:16" x14ac:dyDescent="0.3">
      <c r="A58" t="s">
        <v>17</v>
      </c>
      <c r="B58">
        <v>127946.33</v>
      </c>
      <c r="C58">
        <v>111850.68</v>
      </c>
      <c r="D58" s="1">
        <v>43717</v>
      </c>
      <c r="E58" t="s">
        <v>76</v>
      </c>
      <c r="F58" t="s">
        <v>71</v>
      </c>
      <c r="G58" t="s">
        <v>19</v>
      </c>
      <c r="H58" t="s">
        <v>31</v>
      </c>
      <c r="I58" t="s">
        <v>27</v>
      </c>
      <c r="J58" t="s">
        <v>141</v>
      </c>
      <c r="K58">
        <v>16095.65</v>
      </c>
      <c r="L58">
        <v>0.1258000131774</v>
      </c>
      <c r="M58">
        <v>2019</v>
      </c>
      <c r="N58" t="s">
        <v>1175</v>
      </c>
      <c r="O58">
        <v>9</v>
      </c>
      <c r="P58" t="s">
        <v>1216</v>
      </c>
    </row>
    <row r="59" spans="1:16" x14ac:dyDescent="0.3">
      <c r="A59" t="s">
        <v>17</v>
      </c>
      <c r="B59">
        <v>117538.82</v>
      </c>
      <c r="C59">
        <v>100719.02</v>
      </c>
      <c r="D59" s="1">
        <v>43531</v>
      </c>
      <c r="E59" t="s">
        <v>76</v>
      </c>
      <c r="F59" t="s">
        <v>18</v>
      </c>
      <c r="G59" t="s">
        <v>19</v>
      </c>
      <c r="H59" t="s">
        <v>49</v>
      </c>
      <c r="I59" t="s">
        <v>27</v>
      </c>
      <c r="J59" t="s">
        <v>155</v>
      </c>
      <c r="K59">
        <v>16819.8</v>
      </c>
      <c r="L59">
        <v>0.14309995625275099</v>
      </c>
      <c r="M59">
        <v>2019</v>
      </c>
      <c r="N59" t="s">
        <v>1176</v>
      </c>
      <c r="O59">
        <v>3</v>
      </c>
      <c r="P59" t="s">
        <v>1215</v>
      </c>
    </row>
    <row r="60" spans="1:16" x14ac:dyDescent="0.3">
      <c r="A60" t="s">
        <v>17</v>
      </c>
      <c r="B60">
        <v>56118.05</v>
      </c>
      <c r="C60">
        <v>47711.57</v>
      </c>
      <c r="D60" s="1">
        <v>43864</v>
      </c>
      <c r="E60" t="s">
        <v>76</v>
      </c>
      <c r="F60" t="s">
        <v>97</v>
      </c>
      <c r="G60" t="s">
        <v>19</v>
      </c>
      <c r="H60" t="s">
        <v>20</v>
      </c>
      <c r="I60" t="s">
        <v>27</v>
      </c>
      <c r="J60" t="s">
        <v>179</v>
      </c>
      <c r="K60">
        <v>8406.48</v>
      </c>
      <c r="L60">
        <v>0.149799930681839</v>
      </c>
      <c r="M60">
        <v>2020</v>
      </c>
      <c r="N60" t="s">
        <v>1181</v>
      </c>
      <c r="O60">
        <v>2</v>
      </c>
      <c r="P60" t="s">
        <v>1217</v>
      </c>
    </row>
    <row r="61" spans="1:16" x14ac:dyDescent="0.3">
      <c r="A61" t="s">
        <v>17</v>
      </c>
      <c r="B61">
        <v>50585.98</v>
      </c>
      <c r="C61">
        <v>40999.94</v>
      </c>
      <c r="D61" s="1">
        <v>44072</v>
      </c>
      <c r="E61" t="s">
        <v>76</v>
      </c>
      <c r="F61" t="s">
        <v>144</v>
      </c>
      <c r="G61" t="s">
        <v>19</v>
      </c>
      <c r="H61" t="s">
        <v>78</v>
      </c>
      <c r="I61" t="s">
        <v>15</v>
      </c>
      <c r="J61" t="s">
        <v>188</v>
      </c>
      <c r="K61">
        <v>9586.0400000000009</v>
      </c>
      <c r="L61">
        <v>0.189499936543683</v>
      </c>
      <c r="M61">
        <v>2020</v>
      </c>
      <c r="N61" t="s">
        <v>1171</v>
      </c>
      <c r="O61">
        <v>8</v>
      </c>
      <c r="P61" t="s">
        <v>1214</v>
      </c>
    </row>
    <row r="62" spans="1:16" x14ac:dyDescent="0.3">
      <c r="A62" t="s">
        <v>22</v>
      </c>
      <c r="B62">
        <v>101923.36</v>
      </c>
      <c r="C62">
        <v>86115.05</v>
      </c>
      <c r="D62" s="1">
        <v>43484</v>
      </c>
      <c r="E62" t="s">
        <v>76</v>
      </c>
      <c r="F62" t="s">
        <v>86</v>
      </c>
      <c r="G62" t="s">
        <v>25</v>
      </c>
      <c r="H62" t="s">
        <v>87</v>
      </c>
      <c r="I62" t="s">
        <v>32</v>
      </c>
      <c r="J62" t="s">
        <v>88</v>
      </c>
      <c r="K62">
        <v>15808.31</v>
      </c>
      <c r="L62">
        <v>0.15509996923178401</v>
      </c>
      <c r="M62">
        <v>2019</v>
      </c>
      <c r="N62" t="s">
        <v>1177</v>
      </c>
      <c r="O62">
        <v>1</v>
      </c>
      <c r="P62" t="s">
        <v>1217</v>
      </c>
    </row>
    <row r="63" spans="1:16" x14ac:dyDescent="0.3">
      <c r="A63" t="s">
        <v>22</v>
      </c>
      <c r="B63">
        <v>74532.02</v>
      </c>
      <c r="C63">
        <v>59752.32</v>
      </c>
      <c r="D63" s="1">
        <v>43865</v>
      </c>
      <c r="E63" t="s">
        <v>76</v>
      </c>
      <c r="F63" t="s">
        <v>106</v>
      </c>
      <c r="G63" t="s">
        <v>25</v>
      </c>
      <c r="H63" t="s">
        <v>52</v>
      </c>
      <c r="I63" t="s">
        <v>27</v>
      </c>
      <c r="J63" t="s">
        <v>148</v>
      </c>
      <c r="K63">
        <v>14779.7</v>
      </c>
      <c r="L63">
        <v>0.198300005823001</v>
      </c>
      <c r="M63">
        <v>2020</v>
      </c>
      <c r="N63" t="s">
        <v>1181</v>
      </c>
      <c r="O63">
        <v>2</v>
      </c>
      <c r="P63" t="s">
        <v>1217</v>
      </c>
    </row>
    <row r="64" spans="1:16" x14ac:dyDescent="0.3">
      <c r="A64" t="s">
        <v>34</v>
      </c>
      <c r="B64">
        <v>77128.75</v>
      </c>
      <c r="C64">
        <v>65536.3</v>
      </c>
      <c r="D64" s="1">
        <v>44082</v>
      </c>
      <c r="E64" t="s">
        <v>91</v>
      </c>
      <c r="F64" t="s">
        <v>92</v>
      </c>
      <c r="G64" t="s">
        <v>36</v>
      </c>
      <c r="H64" t="s">
        <v>93</v>
      </c>
      <c r="I64" t="s">
        <v>32</v>
      </c>
      <c r="J64" t="s">
        <v>94</v>
      </c>
      <c r="K64">
        <v>11592.45</v>
      </c>
      <c r="L64">
        <v>0.150299985413999</v>
      </c>
      <c r="M64">
        <v>2020</v>
      </c>
      <c r="N64" t="s">
        <v>1175</v>
      </c>
      <c r="O64">
        <v>9</v>
      </c>
      <c r="P64" t="s">
        <v>1216</v>
      </c>
    </row>
    <row r="65" spans="1:16" x14ac:dyDescent="0.3">
      <c r="A65" t="s">
        <v>34</v>
      </c>
      <c r="B65">
        <v>161773.31</v>
      </c>
      <c r="C65">
        <v>138283.82999999999</v>
      </c>
      <c r="D65" s="1">
        <v>43585</v>
      </c>
      <c r="E65" t="s">
        <v>91</v>
      </c>
      <c r="F65" t="s">
        <v>56</v>
      </c>
      <c r="G65" t="s">
        <v>36</v>
      </c>
      <c r="H65" t="s">
        <v>93</v>
      </c>
      <c r="I65" t="s">
        <v>27</v>
      </c>
      <c r="J65" t="s">
        <v>180</v>
      </c>
      <c r="K65">
        <v>23489.48</v>
      </c>
      <c r="L65">
        <v>0.145199971490971</v>
      </c>
      <c r="M65">
        <v>2019</v>
      </c>
      <c r="N65" t="s">
        <v>1172</v>
      </c>
      <c r="O65">
        <v>4</v>
      </c>
      <c r="P65" t="s">
        <v>1215</v>
      </c>
    </row>
    <row r="66" spans="1:16" x14ac:dyDescent="0.3">
      <c r="A66" t="s">
        <v>10</v>
      </c>
      <c r="B66">
        <v>83897.88</v>
      </c>
      <c r="C66">
        <v>69559.73</v>
      </c>
      <c r="D66" s="1">
        <v>43542</v>
      </c>
      <c r="E66" t="s">
        <v>23</v>
      </c>
      <c r="F66" t="s">
        <v>95</v>
      </c>
      <c r="G66" t="s">
        <v>13</v>
      </c>
      <c r="H66" t="s">
        <v>81</v>
      </c>
      <c r="I66" t="s">
        <v>32</v>
      </c>
      <c r="J66" t="s">
        <v>96</v>
      </c>
      <c r="K66">
        <v>14338.15</v>
      </c>
      <c r="L66">
        <v>0.17090002750963401</v>
      </c>
      <c r="M66">
        <v>2019</v>
      </c>
      <c r="N66" t="s">
        <v>1176</v>
      </c>
      <c r="O66">
        <v>3</v>
      </c>
      <c r="P66" t="s">
        <v>1215</v>
      </c>
    </row>
    <row r="67" spans="1:16" x14ac:dyDescent="0.3">
      <c r="A67" t="s">
        <v>10</v>
      </c>
      <c r="B67">
        <v>79313.86</v>
      </c>
      <c r="C67">
        <v>63316.25</v>
      </c>
      <c r="D67" s="1">
        <v>43833</v>
      </c>
      <c r="E67" t="s">
        <v>23</v>
      </c>
      <c r="F67" t="s">
        <v>92</v>
      </c>
      <c r="G67" t="s">
        <v>13</v>
      </c>
      <c r="H67" t="s">
        <v>72</v>
      </c>
      <c r="I67" t="s">
        <v>27</v>
      </c>
      <c r="J67" t="s">
        <v>199</v>
      </c>
      <c r="K67">
        <v>15997.61</v>
      </c>
      <c r="L67">
        <v>0.201700055954911</v>
      </c>
      <c r="M67">
        <v>2020</v>
      </c>
      <c r="N67" t="s">
        <v>1177</v>
      </c>
      <c r="O67">
        <v>1</v>
      </c>
      <c r="P67" t="s">
        <v>1217</v>
      </c>
    </row>
    <row r="68" spans="1:16" x14ac:dyDescent="0.3">
      <c r="A68" t="s">
        <v>10</v>
      </c>
      <c r="B68">
        <v>149376.26</v>
      </c>
      <c r="C68">
        <v>123653.67</v>
      </c>
      <c r="D68" s="1">
        <v>43861</v>
      </c>
      <c r="E68" t="s">
        <v>99</v>
      </c>
      <c r="F68" t="s">
        <v>62</v>
      </c>
      <c r="G68" t="s">
        <v>13</v>
      </c>
      <c r="H68" t="s">
        <v>46</v>
      </c>
      <c r="I68" t="s">
        <v>27</v>
      </c>
      <c r="J68" t="s">
        <v>100</v>
      </c>
      <c r="K68">
        <v>25722.59</v>
      </c>
      <c r="L68">
        <v>0.17219998679843801</v>
      </c>
      <c r="M68">
        <v>2020</v>
      </c>
      <c r="N68" t="s">
        <v>1177</v>
      </c>
      <c r="O68">
        <v>1</v>
      </c>
      <c r="P68" t="s">
        <v>1217</v>
      </c>
    </row>
    <row r="69" spans="1:16" x14ac:dyDescent="0.3">
      <c r="A69" t="s">
        <v>34</v>
      </c>
      <c r="B69">
        <v>122627.2</v>
      </c>
      <c r="C69">
        <v>100284.52</v>
      </c>
      <c r="D69" s="1">
        <v>43804</v>
      </c>
      <c r="E69" t="s">
        <v>40</v>
      </c>
      <c r="F69" t="s">
        <v>89</v>
      </c>
      <c r="G69" t="s">
        <v>36</v>
      </c>
      <c r="H69" t="s">
        <v>104</v>
      </c>
      <c r="I69" t="s">
        <v>27</v>
      </c>
      <c r="J69" t="s">
        <v>105</v>
      </c>
      <c r="K69">
        <v>22342.68</v>
      </c>
      <c r="L69">
        <v>0.182200033923958</v>
      </c>
      <c r="M69">
        <v>2019</v>
      </c>
      <c r="N69" t="s">
        <v>1182</v>
      </c>
      <c r="O69">
        <v>12</v>
      </c>
      <c r="P69" t="s">
        <v>1217</v>
      </c>
    </row>
    <row r="70" spans="1:16" x14ac:dyDescent="0.3">
      <c r="A70" t="s">
        <v>34</v>
      </c>
      <c r="B70">
        <v>151632.32999999999</v>
      </c>
      <c r="C70">
        <v>120744.82</v>
      </c>
      <c r="D70" s="1">
        <v>44026</v>
      </c>
      <c r="E70" t="s">
        <v>40</v>
      </c>
      <c r="F70" t="s">
        <v>126</v>
      </c>
      <c r="G70" t="s">
        <v>36</v>
      </c>
      <c r="H70" t="s">
        <v>104</v>
      </c>
      <c r="I70" t="s">
        <v>27</v>
      </c>
      <c r="J70" t="s">
        <v>127</v>
      </c>
      <c r="K70">
        <v>30887.51</v>
      </c>
      <c r="L70">
        <v>0.20370002887906599</v>
      </c>
      <c r="M70">
        <v>2020</v>
      </c>
      <c r="N70" t="s">
        <v>1174</v>
      </c>
      <c r="O70">
        <v>7</v>
      </c>
      <c r="P70" t="s">
        <v>1214</v>
      </c>
    </row>
    <row r="71" spans="1:16" x14ac:dyDescent="0.3">
      <c r="A71" t="s">
        <v>17</v>
      </c>
      <c r="B71">
        <v>173456.4</v>
      </c>
      <c r="C71">
        <v>149866.32999999999</v>
      </c>
      <c r="D71" s="1">
        <v>43733</v>
      </c>
      <c r="E71" t="s">
        <v>91</v>
      </c>
      <c r="F71" t="s">
        <v>56</v>
      </c>
      <c r="G71" t="s">
        <v>19</v>
      </c>
      <c r="H71" t="s">
        <v>49</v>
      </c>
      <c r="I71" t="s">
        <v>32</v>
      </c>
      <c r="J71" t="s">
        <v>108</v>
      </c>
      <c r="K71">
        <v>23590.07</v>
      </c>
      <c r="L71">
        <v>0.135999997693945</v>
      </c>
      <c r="M71">
        <v>2019</v>
      </c>
      <c r="N71" t="s">
        <v>1175</v>
      </c>
      <c r="O71">
        <v>9</v>
      </c>
      <c r="P71" t="s">
        <v>1216</v>
      </c>
    </row>
    <row r="72" spans="1:16" x14ac:dyDescent="0.3">
      <c r="A72" t="s">
        <v>17</v>
      </c>
      <c r="B72">
        <v>60068.71</v>
      </c>
      <c r="C72">
        <v>47688.55</v>
      </c>
      <c r="D72" s="1">
        <v>44079</v>
      </c>
      <c r="E72" t="s">
        <v>99</v>
      </c>
      <c r="F72" t="s">
        <v>74</v>
      </c>
      <c r="G72" t="s">
        <v>19</v>
      </c>
      <c r="H72" t="s">
        <v>31</v>
      </c>
      <c r="I72" t="s">
        <v>27</v>
      </c>
      <c r="J72" t="s">
        <v>112</v>
      </c>
      <c r="K72">
        <v>12380.16</v>
      </c>
      <c r="L72">
        <v>0.206099981171562</v>
      </c>
      <c r="M72">
        <v>2020</v>
      </c>
      <c r="N72" t="s">
        <v>1175</v>
      </c>
      <c r="O72">
        <v>9</v>
      </c>
      <c r="P72" t="s">
        <v>1216</v>
      </c>
    </row>
    <row r="73" spans="1:16" x14ac:dyDescent="0.3">
      <c r="A73" t="s">
        <v>54</v>
      </c>
      <c r="B73">
        <v>58416.81</v>
      </c>
      <c r="C73">
        <v>46745.13</v>
      </c>
      <c r="D73" s="1">
        <v>43648</v>
      </c>
      <c r="E73" t="s">
        <v>40</v>
      </c>
      <c r="F73" t="s">
        <v>113</v>
      </c>
      <c r="G73" t="s">
        <v>57</v>
      </c>
      <c r="H73" t="s">
        <v>58</v>
      </c>
      <c r="I73" t="s">
        <v>27</v>
      </c>
      <c r="J73" t="s">
        <v>114</v>
      </c>
      <c r="K73">
        <v>11671.68</v>
      </c>
      <c r="L73">
        <v>0.19980002331520699</v>
      </c>
      <c r="M73">
        <v>2019</v>
      </c>
      <c r="N73" t="s">
        <v>1174</v>
      </c>
      <c r="O73">
        <v>7</v>
      </c>
      <c r="P73" t="s">
        <v>1214</v>
      </c>
    </row>
    <row r="74" spans="1:16" x14ac:dyDescent="0.3">
      <c r="A74" t="s">
        <v>54</v>
      </c>
      <c r="B74">
        <v>180519.86</v>
      </c>
      <c r="C74">
        <v>145968.35999999999</v>
      </c>
      <c r="D74" s="1">
        <v>43562</v>
      </c>
      <c r="E74" t="s">
        <v>11</v>
      </c>
      <c r="F74" t="s">
        <v>60</v>
      </c>
      <c r="G74" t="s">
        <v>57</v>
      </c>
      <c r="H74" t="s">
        <v>58</v>
      </c>
      <c r="I74" t="s">
        <v>27</v>
      </c>
      <c r="J74" t="s">
        <v>117</v>
      </c>
      <c r="K74">
        <v>34551.5</v>
      </c>
      <c r="L74">
        <v>0.191399993330374</v>
      </c>
      <c r="M74">
        <v>2019</v>
      </c>
      <c r="N74" t="s">
        <v>1172</v>
      </c>
      <c r="O74">
        <v>4</v>
      </c>
      <c r="P74" t="s">
        <v>1215</v>
      </c>
    </row>
    <row r="75" spans="1:16" x14ac:dyDescent="0.3">
      <c r="A75" t="s">
        <v>17</v>
      </c>
      <c r="B75">
        <v>128221.13</v>
      </c>
      <c r="C75">
        <v>102217.88</v>
      </c>
      <c r="D75" s="1">
        <v>44003</v>
      </c>
      <c r="E75" t="s">
        <v>40</v>
      </c>
      <c r="F75" t="s">
        <v>56</v>
      </c>
      <c r="G75" t="s">
        <v>19</v>
      </c>
      <c r="H75" t="s">
        <v>20</v>
      </c>
      <c r="I75" t="s">
        <v>27</v>
      </c>
      <c r="J75" t="s">
        <v>119</v>
      </c>
      <c r="K75">
        <v>26003.25</v>
      </c>
      <c r="L75">
        <v>0.20280003771609201</v>
      </c>
      <c r="M75">
        <v>2020</v>
      </c>
      <c r="N75" t="s">
        <v>1179</v>
      </c>
      <c r="O75">
        <v>6</v>
      </c>
      <c r="P75" t="s">
        <v>1214</v>
      </c>
    </row>
    <row r="76" spans="1:16" x14ac:dyDescent="0.3">
      <c r="A76" t="s">
        <v>17</v>
      </c>
      <c r="B76">
        <v>56811.14</v>
      </c>
      <c r="C76">
        <v>48221.3</v>
      </c>
      <c r="D76" s="1">
        <v>43656</v>
      </c>
      <c r="E76" t="s">
        <v>40</v>
      </c>
      <c r="F76" t="s">
        <v>156</v>
      </c>
      <c r="G76" t="s">
        <v>19</v>
      </c>
      <c r="H76" t="s">
        <v>157</v>
      </c>
      <c r="I76" t="s">
        <v>27</v>
      </c>
      <c r="J76" t="s">
        <v>158</v>
      </c>
      <c r="K76">
        <v>8589.84</v>
      </c>
      <c r="L76">
        <v>0.151199923113671</v>
      </c>
      <c r="M76">
        <v>2019</v>
      </c>
      <c r="N76" t="s">
        <v>1174</v>
      </c>
      <c r="O76">
        <v>7</v>
      </c>
      <c r="P76" t="s">
        <v>1214</v>
      </c>
    </row>
    <row r="77" spans="1:16" x14ac:dyDescent="0.3">
      <c r="A77" t="s">
        <v>17</v>
      </c>
      <c r="B77">
        <v>83340.039999999994</v>
      </c>
      <c r="C77">
        <v>73264.23</v>
      </c>
      <c r="D77" s="1">
        <v>43969</v>
      </c>
      <c r="E77" t="s">
        <v>40</v>
      </c>
      <c r="F77" t="s">
        <v>56</v>
      </c>
      <c r="G77" t="s">
        <v>19</v>
      </c>
      <c r="H77" t="s">
        <v>20</v>
      </c>
      <c r="I77" t="s">
        <v>27</v>
      </c>
      <c r="J77" t="s">
        <v>208</v>
      </c>
      <c r="K77">
        <v>10075.81</v>
      </c>
      <c r="L77">
        <v>0.12089998996880701</v>
      </c>
      <c r="M77">
        <v>2020</v>
      </c>
      <c r="N77" t="s">
        <v>1173</v>
      </c>
      <c r="O77">
        <v>5</v>
      </c>
      <c r="P77" t="s">
        <v>1215</v>
      </c>
    </row>
    <row r="78" spans="1:16" x14ac:dyDescent="0.3">
      <c r="A78" t="s">
        <v>17</v>
      </c>
      <c r="B78">
        <v>186209.44</v>
      </c>
      <c r="C78">
        <v>148818.57999999999</v>
      </c>
      <c r="D78" s="1">
        <v>43640</v>
      </c>
      <c r="E78" t="s">
        <v>40</v>
      </c>
      <c r="F78" t="s">
        <v>74</v>
      </c>
      <c r="G78" t="s">
        <v>19</v>
      </c>
      <c r="H78" t="s">
        <v>49</v>
      </c>
      <c r="I78" t="s">
        <v>32</v>
      </c>
      <c r="J78" t="s">
        <v>238</v>
      </c>
      <c r="K78">
        <v>37390.86</v>
      </c>
      <c r="L78">
        <v>0.20080002388708099</v>
      </c>
      <c r="M78">
        <v>2019</v>
      </c>
      <c r="N78" t="s">
        <v>1179</v>
      </c>
      <c r="O78">
        <v>6</v>
      </c>
      <c r="P78" t="s">
        <v>1214</v>
      </c>
    </row>
    <row r="79" spans="1:16" x14ac:dyDescent="0.3">
      <c r="A79" t="s">
        <v>34</v>
      </c>
      <c r="B79">
        <v>164971.70000000001</v>
      </c>
      <c r="C79">
        <v>132686.74</v>
      </c>
      <c r="D79" s="1">
        <v>43666</v>
      </c>
      <c r="E79" t="s">
        <v>55</v>
      </c>
      <c r="F79" t="s">
        <v>18</v>
      </c>
      <c r="G79" t="s">
        <v>36</v>
      </c>
      <c r="H79" t="s">
        <v>104</v>
      </c>
      <c r="I79" t="s">
        <v>27</v>
      </c>
      <c r="J79" t="s">
        <v>120</v>
      </c>
      <c r="K79">
        <v>32284.959999999999</v>
      </c>
      <c r="L79">
        <v>0.19569998975581901</v>
      </c>
      <c r="M79">
        <v>2019</v>
      </c>
      <c r="N79" t="s">
        <v>1174</v>
      </c>
      <c r="O79">
        <v>7</v>
      </c>
      <c r="P79" t="s">
        <v>1214</v>
      </c>
    </row>
    <row r="80" spans="1:16" x14ac:dyDescent="0.3">
      <c r="A80" t="s">
        <v>54</v>
      </c>
      <c r="B80">
        <v>92868.37</v>
      </c>
      <c r="C80">
        <v>79068.13</v>
      </c>
      <c r="D80" s="1">
        <v>43920</v>
      </c>
      <c r="E80" t="s">
        <v>29</v>
      </c>
      <c r="F80" t="s">
        <v>62</v>
      </c>
      <c r="G80" t="s">
        <v>57</v>
      </c>
      <c r="H80" t="s">
        <v>58</v>
      </c>
      <c r="I80" t="s">
        <v>27</v>
      </c>
      <c r="J80" t="s">
        <v>121</v>
      </c>
      <c r="K80">
        <v>13800.24</v>
      </c>
      <c r="L80">
        <v>0.148600002347408</v>
      </c>
      <c r="M80">
        <v>2020</v>
      </c>
      <c r="N80" t="s">
        <v>1176</v>
      </c>
      <c r="O80">
        <v>3</v>
      </c>
      <c r="P80" t="s">
        <v>1215</v>
      </c>
    </row>
    <row r="81" spans="1:16" x14ac:dyDescent="0.3">
      <c r="A81" t="s">
        <v>54</v>
      </c>
      <c r="B81">
        <v>30177.8</v>
      </c>
      <c r="C81">
        <v>23924.959999999999</v>
      </c>
      <c r="D81" s="1">
        <v>43992</v>
      </c>
      <c r="E81" t="s">
        <v>29</v>
      </c>
      <c r="F81" t="s">
        <v>227</v>
      </c>
      <c r="G81" t="s">
        <v>57</v>
      </c>
      <c r="H81" t="s">
        <v>58</v>
      </c>
      <c r="I81" t="s">
        <v>32</v>
      </c>
      <c r="J81" t="s">
        <v>228</v>
      </c>
      <c r="K81">
        <v>6252.84</v>
      </c>
      <c r="L81">
        <v>0.207199994698089</v>
      </c>
      <c r="M81">
        <v>2020</v>
      </c>
      <c r="N81" t="s">
        <v>1179</v>
      </c>
      <c r="O81">
        <v>6</v>
      </c>
      <c r="P81" t="s">
        <v>1214</v>
      </c>
    </row>
    <row r="82" spans="1:16" x14ac:dyDescent="0.3">
      <c r="A82" t="s">
        <v>122</v>
      </c>
      <c r="B82">
        <v>145439.65</v>
      </c>
      <c r="C82">
        <v>123710.97</v>
      </c>
      <c r="D82" s="1">
        <v>43900</v>
      </c>
      <c r="E82" t="s">
        <v>51</v>
      </c>
      <c r="F82" t="s">
        <v>77</v>
      </c>
      <c r="G82" t="s">
        <v>123</v>
      </c>
      <c r="H82" t="s">
        <v>124</v>
      </c>
      <c r="I82" t="s">
        <v>27</v>
      </c>
      <c r="J82" t="s">
        <v>125</v>
      </c>
      <c r="K82">
        <v>21728.68</v>
      </c>
      <c r="L82">
        <v>0.14939997449113801</v>
      </c>
      <c r="M82">
        <v>2020</v>
      </c>
      <c r="N82" t="s">
        <v>1176</v>
      </c>
      <c r="O82">
        <v>3</v>
      </c>
      <c r="P82" t="s">
        <v>1215</v>
      </c>
    </row>
    <row r="83" spans="1:16" x14ac:dyDescent="0.3">
      <c r="A83" t="s">
        <v>129</v>
      </c>
      <c r="B83">
        <v>106115.85</v>
      </c>
      <c r="C83">
        <v>93063.6</v>
      </c>
      <c r="D83" s="1">
        <v>43876</v>
      </c>
      <c r="E83" t="s">
        <v>29</v>
      </c>
      <c r="F83" t="s">
        <v>56</v>
      </c>
      <c r="G83" t="s">
        <v>130</v>
      </c>
      <c r="H83" t="s">
        <v>131</v>
      </c>
      <c r="I83" t="s">
        <v>15</v>
      </c>
      <c r="J83" t="s">
        <v>132</v>
      </c>
      <c r="K83">
        <v>13052.25</v>
      </c>
      <c r="L83">
        <v>0.123000004240648</v>
      </c>
      <c r="M83">
        <v>2020</v>
      </c>
      <c r="N83" t="s">
        <v>1181</v>
      </c>
      <c r="O83">
        <v>2</v>
      </c>
      <c r="P83" t="s">
        <v>1217</v>
      </c>
    </row>
    <row r="84" spans="1:16" x14ac:dyDescent="0.3">
      <c r="A84" t="s">
        <v>129</v>
      </c>
      <c r="B84">
        <v>33190.03</v>
      </c>
      <c r="C84">
        <v>28397.39</v>
      </c>
      <c r="D84" s="1">
        <v>44061</v>
      </c>
      <c r="E84" t="s">
        <v>29</v>
      </c>
      <c r="F84" t="s">
        <v>189</v>
      </c>
      <c r="G84" t="s">
        <v>130</v>
      </c>
      <c r="H84" t="s">
        <v>159</v>
      </c>
      <c r="I84" t="s">
        <v>15</v>
      </c>
      <c r="J84" t="s">
        <v>190</v>
      </c>
      <c r="K84">
        <v>4792.6400000000003</v>
      </c>
      <c r="L84">
        <v>0.14439998999699599</v>
      </c>
      <c r="M84">
        <v>2020</v>
      </c>
      <c r="N84" t="s">
        <v>1171</v>
      </c>
      <c r="O84">
        <v>8</v>
      </c>
      <c r="P84" t="s">
        <v>1214</v>
      </c>
    </row>
    <row r="85" spans="1:16" x14ac:dyDescent="0.3">
      <c r="A85" t="s">
        <v>54</v>
      </c>
      <c r="B85">
        <v>86704.08</v>
      </c>
      <c r="C85">
        <v>75380.53</v>
      </c>
      <c r="D85" s="1">
        <v>43961</v>
      </c>
      <c r="E85" t="s">
        <v>91</v>
      </c>
      <c r="F85" t="s">
        <v>133</v>
      </c>
      <c r="G85" t="s">
        <v>57</v>
      </c>
      <c r="H85" t="s">
        <v>58</v>
      </c>
      <c r="I85" t="s">
        <v>27</v>
      </c>
      <c r="J85" t="s">
        <v>134</v>
      </c>
      <c r="K85">
        <v>11323.55</v>
      </c>
      <c r="L85">
        <v>0.13059996715264099</v>
      </c>
      <c r="M85">
        <v>2020</v>
      </c>
      <c r="N85" t="s">
        <v>1173</v>
      </c>
      <c r="O85">
        <v>5</v>
      </c>
      <c r="P85" t="s">
        <v>1215</v>
      </c>
    </row>
    <row r="86" spans="1:16" x14ac:dyDescent="0.3">
      <c r="A86" t="s">
        <v>129</v>
      </c>
      <c r="B86">
        <v>48946.74</v>
      </c>
      <c r="C86">
        <v>38765.82</v>
      </c>
      <c r="D86" s="1">
        <v>43574</v>
      </c>
      <c r="E86" t="s">
        <v>55</v>
      </c>
      <c r="F86" t="s">
        <v>135</v>
      </c>
      <c r="G86" t="s">
        <v>130</v>
      </c>
      <c r="H86" t="s">
        <v>131</v>
      </c>
      <c r="I86" t="s">
        <v>27</v>
      </c>
      <c r="J86" t="s">
        <v>136</v>
      </c>
      <c r="K86">
        <v>10180.92</v>
      </c>
      <c r="L86">
        <v>0.20799996077369001</v>
      </c>
      <c r="M86">
        <v>2019</v>
      </c>
      <c r="N86" t="s">
        <v>1172</v>
      </c>
      <c r="O86">
        <v>4</v>
      </c>
      <c r="P86" t="s">
        <v>1215</v>
      </c>
    </row>
    <row r="87" spans="1:16" x14ac:dyDescent="0.3">
      <c r="A87" t="s">
        <v>10</v>
      </c>
      <c r="B87">
        <v>54078.92</v>
      </c>
      <c r="C87">
        <v>46102.28</v>
      </c>
      <c r="D87" s="1">
        <v>44054</v>
      </c>
      <c r="E87" t="s">
        <v>91</v>
      </c>
      <c r="F87" t="s">
        <v>133</v>
      </c>
      <c r="G87" t="s">
        <v>13</v>
      </c>
      <c r="H87" t="s">
        <v>81</v>
      </c>
      <c r="I87" t="s">
        <v>27</v>
      </c>
      <c r="J87" t="s">
        <v>137</v>
      </c>
      <c r="K87">
        <v>7976.64</v>
      </c>
      <c r="L87">
        <v>0.14749998705595499</v>
      </c>
      <c r="M87">
        <v>2020</v>
      </c>
      <c r="N87" t="s">
        <v>1171</v>
      </c>
      <c r="O87">
        <v>8</v>
      </c>
      <c r="P87" t="s">
        <v>1214</v>
      </c>
    </row>
    <row r="88" spans="1:16" x14ac:dyDescent="0.3">
      <c r="A88" t="s">
        <v>10</v>
      </c>
      <c r="B88">
        <v>48179.57</v>
      </c>
      <c r="C88">
        <v>41405.519999999997</v>
      </c>
      <c r="D88" s="1">
        <v>44057</v>
      </c>
      <c r="E88" t="s">
        <v>91</v>
      </c>
      <c r="F88" t="s">
        <v>95</v>
      </c>
      <c r="G88" t="s">
        <v>13</v>
      </c>
      <c r="H88" t="s">
        <v>81</v>
      </c>
      <c r="I88" t="s">
        <v>1183</v>
      </c>
      <c r="J88" t="s">
        <v>251</v>
      </c>
      <c r="K88">
        <v>6774.05</v>
      </c>
      <c r="L88">
        <v>0.140600051017475</v>
      </c>
      <c r="M88">
        <v>2020</v>
      </c>
      <c r="N88" t="s">
        <v>1171</v>
      </c>
      <c r="O88">
        <v>8</v>
      </c>
      <c r="P88" t="s">
        <v>1214</v>
      </c>
    </row>
    <row r="89" spans="1:16" x14ac:dyDescent="0.3">
      <c r="A89" t="s">
        <v>39</v>
      </c>
      <c r="B89">
        <v>26899.97</v>
      </c>
      <c r="C89">
        <v>23198.53</v>
      </c>
      <c r="D89" s="1">
        <v>43543</v>
      </c>
      <c r="E89" t="s">
        <v>11</v>
      </c>
      <c r="F89" t="s">
        <v>106</v>
      </c>
      <c r="G89" t="s">
        <v>42</v>
      </c>
      <c r="H89" t="s">
        <v>43</v>
      </c>
      <c r="I89" t="s">
        <v>27</v>
      </c>
      <c r="J89" t="s">
        <v>138</v>
      </c>
      <c r="K89">
        <v>3701.44</v>
      </c>
      <c r="L89">
        <v>0.13760015345741999</v>
      </c>
      <c r="M89">
        <v>2019</v>
      </c>
      <c r="N89" t="s">
        <v>1176</v>
      </c>
      <c r="O89">
        <v>3</v>
      </c>
      <c r="P89" t="s">
        <v>1215</v>
      </c>
    </row>
    <row r="90" spans="1:16" x14ac:dyDescent="0.3">
      <c r="A90" t="s">
        <v>22</v>
      </c>
      <c r="B90">
        <v>61994.02</v>
      </c>
      <c r="C90">
        <v>54250.97</v>
      </c>
      <c r="D90" s="1">
        <v>43515</v>
      </c>
      <c r="E90" t="s">
        <v>91</v>
      </c>
      <c r="F90" t="s">
        <v>74</v>
      </c>
      <c r="G90" t="s">
        <v>25</v>
      </c>
      <c r="H90" t="s">
        <v>26</v>
      </c>
      <c r="I90" t="s">
        <v>27</v>
      </c>
      <c r="J90" t="s">
        <v>142</v>
      </c>
      <c r="K90">
        <v>7743.05</v>
      </c>
      <c r="L90">
        <v>0.12489995002743801</v>
      </c>
      <c r="M90">
        <v>2019</v>
      </c>
      <c r="N90" t="s">
        <v>1181</v>
      </c>
      <c r="O90">
        <v>2</v>
      </c>
      <c r="P90" t="s">
        <v>1217</v>
      </c>
    </row>
    <row r="91" spans="1:16" x14ac:dyDescent="0.3">
      <c r="A91" t="s">
        <v>22</v>
      </c>
      <c r="B91">
        <v>82357.570000000007</v>
      </c>
      <c r="C91">
        <v>65474.27</v>
      </c>
      <c r="D91" s="1">
        <v>43515</v>
      </c>
      <c r="E91" t="s">
        <v>91</v>
      </c>
      <c r="F91" t="s">
        <v>80</v>
      </c>
      <c r="G91" t="s">
        <v>25</v>
      </c>
      <c r="H91" t="s">
        <v>52</v>
      </c>
      <c r="I91" t="s">
        <v>27</v>
      </c>
      <c r="J91" t="s">
        <v>187</v>
      </c>
      <c r="K91">
        <v>16883.3</v>
      </c>
      <c r="L91">
        <v>0.20499997753697699</v>
      </c>
      <c r="M91">
        <v>2019</v>
      </c>
      <c r="N91" t="s">
        <v>1181</v>
      </c>
      <c r="O91">
        <v>2</v>
      </c>
      <c r="P91" t="s">
        <v>1217</v>
      </c>
    </row>
    <row r="92" spans="1:16" x14ac:dyDescent="0.3">
      <c r="A92" t="s">
        <v>143</v>
      </c>
      <c r="B92">
        <v>39110.97</v>
      </c>
      <c r="C92">
        <v>34315.97</v>
      </c>
      <c r="D92" s="1">
        <v>43765</v>
      </c>
      <c r="E92" t="s">
        <v>40</v>
      </c>
      <c r="F92" t="s">
        <v>144</v>
      </c>
      <c r="G92" t="s">
        <v>145</v>
      </c>
      <c r="H92" t="s">
        <v>146</v>
      </c>
      <c r="I92" t="s">
        <v>27</v>
      </c>
      <c r="J92" t="s">
        <v>147</v>
      </c>
      <c r="K92">
        <v>4795</v>
      </c>
      <c r="L92">
        <v>0.12259987415295499</v>
      </c>
      <c r="M92">
        <v>2019</v>
      </c>
      <c r="N92" t="s">
        <v>1178</v>
      </c>
      <c r="O92">
        <v>10</v>
      </c>
      <c r="P92" t="s">
        <v>1216</v>
      </c>
    </row>
    <row r="93" spans="1:16" x14ac:dyDescent="0.3">
      <c r="A93" t="s">
        <v>143</v>
      </c>
      <c r="B93">
        <v>134908.19</v>
      </c>
      <c r="C93">
        <v>114388.65</v>
      </c>
      <c r="D93" s="1">
        <v>44061</v>
      </c>
      <c r="E93" t="s">
        <v>40</v>
      </c>
      <c r="F93" t="s">
        <v>45</v>
      </c>
      <c r="G93" t="s">
        <v>145</v>
      </c>
      <c r="H93" t="s">
        <v>146</v>
      </c>
      <c r="I93" t="s">
        <v>27</v>
      </c>
      <c r="J93" t="s">
        <v>194</v>
      </c>
      <c r="K93">
        <v>20519.54</v>
      </c>
      <c r="L93">
        <v>0.15210003188094101</v>
      </c>
      <c r="M93">
        <v>2020</v>
      </c>
      <c r="N93" t="s">
        <v>1171</v>
      </c>
      <c r="O93">
        <v>8</v>
      </c>
      <c r="P93" t="s">
        <v>1214</v>
      </c>
    </row>
    <row r="94" spans="1:16" x14ac:dyDescent="0.3">
      <c r="A94" t="s">
        <v>17</v>
      </c>
      <c r="B94">
        <v>60592.4</v>
      </c>
      <c r="C94">
        <v>52363.95</v>
      </c>
      <c r="D94" s="1">
        <v>43518</v>
      </c>
      <c r="E94" t="s">
        <v>55</v>
      </c>
      <c r="F94" t="s">
        <v>149</v>
      </c>
      <c r="G94" t="s">
        <v>19</v>
      </c>
      <c r="H94" t="s">
        <v>31</v>
      </c>
      <c r="I94" t="s">
        <v>27</v>
      </c>
      <c r="J94" t="s">
        <v>150</v>
      </c>
      <c r="K94">
        <v>8228.4500000000007</v>
      </c>
      <c r="L94">
        <v>0.13580003432773699</v>
      </c>
      <c r="M94">
        <v>2019</v>
      </c>
      <c r="N94" t="s">
        <v>1181</v>
      </c>
      <c r="O94">
        <v>2</v>
      </c>
      <c r="P94" t="s">
        <v>1217</v>
      </c>
    </row>
    <row r="95" spans="1:16" x14ac:dyDescent="0.3">
      <c r="A95" t="s">
        <v>151</v>
      </c>
      <c r="B95">
        <v>81358.58</v>
      </c>
      <c r="C95">
        <v>68918.850000000006</v>
      </c>
      <c r="D95" s="1">
        <v>44064</v>
      </c>
      <c r="E95" t="s">
        <v>91</v>
      </c>
      <c r="F95" t="s">
        <v>133</v>
      </c>
      <c r="G95" t="s">
        <v>152</v>
      </c>
      <c r="H95" t="s">
        <v>153</v>
      </c>
      <c r="I95" t="s">
        <v>32</v>
      </c>
      <c r="J95" t="s">
        <v>154</v>
      </c>
      <c r="K95">
        <v>12439.73</v>
      </c>
      <c r="L95">
        <v>0.15290003832416901</v>
      </c>
      <c r="M95">
        <v>2020</v>
      </c>
      <c r="N95" t="s">
        <v>1171</v>
      </c>
      <c r="O95">
        <v>8</v>
      </c>
      <c r="P95" t="s">
        <v>1214</v>
      </c>
    </row>
    <row r="96" spans="1:16" x14ac:dyDescent="0.3">
      <c r="A96" t="s">
        <v>151</v>
      </c>
      <c r="B96">
        <v>361182.87</v>
      </c>
      <c r="C96">
        <v>288368.40000000002</v>
      </c>
      <c r="D96" s="1">
        <v>43508</v>
      </c>
      <c r="E96" t="s">
        <v>91</v>
      </c>
      <c r="F96" t="s">
        <v>195</v>
      </c>
      <c r="G96" t="s">
        <v>152</v>
      </c>
      <c r="H96" t="s">
        <v>197</v>
      </c>
      <c r="I96" t="s">
        <v>27</v>
      </c>
      <c r="J96" t="s">
        <v>198</v>
      </c>
      <c r="K96">
        <v>72814.47</v>
      </c>
      <c r="L96">
        <v>0.201600009435663</v>
      </c>
      <c r="M96">
        <v>2019</v>
      </c>
      <c r="N96" t="s">
        <v>1181</v>
      </c>
      <c r="O96">
        <v>2</v>
      </c>
      <c r="P96" t="s">
        <v>1217</v>
      </c>
    </row>
    <row r="97" spans="1:16" x14ac:dyDescent="0.3">
      <c r="A97" t="s">
        <v>129</v>
      </c>
      <c r="B97">
        <v>163967.89000000001</v>
      </c>
      <c r="C97">
        <v>138208.53</v>
      </c>
      <c r="D97" s="1">
        <v>43615</v>
      </c>
      <c r="E97" t="s">
        <v>23</v>
      </c>
      <c r="F97" t="s">
        <v>74</v>
      </c>
      <c r="G97" t="s">
        <v>130</v>
      </c>
      <c r="H97" t="s">
        <v>159</v>
      </c>
      <c r="I97" t="s">
        <v>15</v>
      </c>
      <c r="J97" t="s">
        <v>160</v>
      </c>
      <c r="K97">
        <v>25759.360000000001</v>
      </c>
      <c r="L97">
        <v>0.15710002732852099</v>
      </c>
      <c r="M97">
        <v>2019</v>
      </c>
      <c r="N97" t="s">
        <v>1173</v>
      </c>
      <c r="O97">
        <v>5</v>
      </c>
      <c r="P97" t="s">
        <v>1215</v>
      </c>
    </row>
    <row r="98" spans="1:16" x14ac:dyDescent="0.3">
      <c r="A98" t="s">
        <v>39</v>
      </c>
      <c r="B98">
        <v>163203.64000000001</v>
      </c>
      <c r="C98">
        <v>140893.70000000001</v>
      </c>
      <c r="D98" s="1">
        <v>43637</v>
      </c>
      <c r="E98" t="s">
        <v>51</v>
      </c>
      <c r="F98" t="s">
        <v>135</v>
      </c>
      <c r="G98" t="s">
        <v>42</v>
      </c>
      <c r="H98" t="s">
        <v>43</v>
      </c>
      <c r="I98" t="s">
        <v>27</v>
      </c>
      <c r="J98" t="s">
        <v>162</v>
      </c>
      <c r="K98">
        <v>22309.94</v>
      </c>
      <c r="L98">
        <v>0.136700014779082</v>
      </c>
      <c r="M98">
        <v>2019</v>
      </c>
      <c r="N98" t="s">
        <v>1179</v>
      </c>
      <c r="O98">
        <v>6</v>
      </c>
      <c r="P98" t="s">
        <v>1214</v>
      </c>
    </row>
    <row r="99" spans="1:16" x14ac:dyDescent="0.3">
      <c r="A99" t="s">
        <v>22</v>
      </c>
      <c r="B99">
        <v>249099.44</v>
      </c>
      <c r="C99">
        <v>215695.2</v>
      </c>
      <c r="D99" s="1">
        <v>43997</v>
      </c>
      <c r="E99" t="s">
        <v>99</v>
      </c>
      <c r="F99" t="s">
        <v>56</v>
      </c>
      <c r="G99" t="s">
        <v>25</v>
      </c>
      <c r="H99" t="s">
        <v>26</v>
      </c>
      <c r="I99" t="s">
        <v>27</v>
      </c>
      <c r="J99" t="s">
        <v>163</v>
      </c>
      <c r="K99">
        <v>33404.239999999998</v>
      </c>
      <c r="L99">
        <v>0.13410002045769401</v>
      </c>
      <c r="M99">
        <v>2020</v>
      </c>
      <c r="N99" t="s">
        <v>1179</v>
      </c>
      <c r="O99">
        <v>6</v>
      </c>
      <c r="P99" t="s">
        <v>1214</v>
      </c>
    </row>
    <row r="100" spans="1:16" x14ac:dyDescent="0.3">
      <c r="A100" t="s">
        <v>22</v>
      </c>
      <c r="B100">
        <v>290551.74</v>
      </c>
      <c r="C100">
        <v>239530.86</v>
      </c>
      <c r="D100" s="1">
        <v>44179</v>
      </c>
      <c r="E100" t="s">
        <v>99</v>
      </c>
      <c r="F100" t="s">
        <v>106</v>
      </c>
      <c r="G100" t="s">
        <v>25</v>
      </c>
      <c r="H100" t="s">
        <v>87</v>
      </c>
      <c r="I100" t="s">
        <v>27</v>
      </c>
      <c r="J100" t="s">
        <v>210</v>
      </c>
      <c r="K100">
        <v>51020.88</v>
      </c>
      <c r="L100">
        <v>0.17559998091906101</v>
      </c>
      <c r="M100">
        <v>2020</v>
      </c>
      <c r="N100" t="s">
        <v>1182</v>
      </c>
      <c r="O100">
        <v>12</v>
      </c>
      <c r="P100" t="s">
        <v>1217</v>
      </c>
    </row>
    <row r="101" spans="1:16" x14ac:dyDescent="0.3">
      <c r="A101" t="s">
        <v>66</v>
      </c>
      <c r="B101">
        <v>158362.32999999999</v>
      </c>
      <c r="C101">
        <v>133990.37</v>
      </c>
      <c r="D101" s="1">
        <v>44057</v>
      </c>
      <c r="E101" t="s">
        <v>91</v>
      </c>
      <c r="F101" t="s">
        <v>106</v>
      </c>
      <c r="G101" t="s">
        <v>68</v>
      </c>
      <c r="H101" t="s">
        <v>69</v>
      </c>
      <c r="I101" t="s">
        <v>27</v>
      </c>
      <c r="J101" t="s">
        <v>166</v>
      </c>
      <c r="K101">
        <v>24371.96</v>
      </c>
      <c r="L101">
        <v>0.153899983664044</v>
      </c>
      <c r="M101">
        <v>2020</v>
      </c>
      <c r="N101" t="s">
        <v>1171</v>
      </c>
      <c r="O101">
        <v>8</v>
      </c>
      <c r="P101" t="s">
        <v>1214</v>
      </c>
    </row>
    <row r="102" spans="1:16" x14ac:dyDescent="0.3">
      <c r="A102" t="s">
        <v>169</v>
      </c>
      <c r="B102">
        <v>22164.959999999999</v>
      </c>
      <c r="C102">
        <v>17938.099999999999</v>
      </c>
      <c r="D102" s="1">
        <v>43538</v>
      </c>
      <c r="E102" t="s">
        <v>91</v>
      </c>
      <c r="F102" t="s">
        <v>170</v>
      </c>
      <c r="G102" t="s">
        <v>171</v>
      </c>
      <c r="H102" t="s">
        <v>172</v>
      </c>
      <c r="I102" t="s">
        <v>27</v>
      </c>
      <c r="J102" t="s">
        <v>173</v>
      </c>
      <c r="K102">
        <v>4226.8599999999997</v>
      </c>
      <c r="L102">
        <v>0.19070009600739199</v>
      </c>
      <c r="M102">
        <v>2019</v>
      </c>
      <c r="N102" t="s">
        <v>1176</v>
      </c>
      <c r="O102">
        <v>3</v>
      </c>
      <c r="P102" t="s">
        <v>1215</v>
      </c>
    </row>
    <row r="103" spans="1:16" x14ac:dyDescent="0.3">
      <c r="A103" t="s">
        <v>22</v>
      </c>
      <c r="B103">
        <v>263571.82</v>
      </c>
      <c r="C103">
        <v>216155.25</v>
      </c>
      <c r="D103" s="1">
        <v>44049</v>
      </c>
      <c r="E103" t="s">
        <v>181</v>
      </c>
      <c r="F103" t="s">
        <v>92</v>
      </c>
      <c r="G103" t="s">
        <v>25</v>
      </c>
      <c r="H103" t="s">
        <v>52</v>
      </c>
      <c r="I103" t="s">
        <v>27</v>
      </c>
      <c r="J103" t="s">
        <v>182</v>
      </c>
      <c r="K103">
        <v>47416.57</v>
      </c>
      <c r="L103">
        <v>0.17989999841409399</v>
      </c>
      <c r="M103">
        <v>2020</v>
      </c>
      <c r="N103" t="s">
        <v>1171</v>
      </c>
      <c r="O103">
        <v>8</v>
      </c>
      <c r="P103" t="s">
        <v>1214</v>
      </c>
    </row>
    <row r="104" spans="1:16" x14ac:dyDescent="0.3">
      <c r="A104" t="s">
        <v>122</v>
      </c>
      <c r="B104">
        <v>78293.94</v>
      </c>
      <c r="C104">
        <v>66236.67</v>
      </c>
      <c r="D104" s="1">
        <v>43751</v>
      </c>
      <c r="E104" t="s">
        <v>23</v>
      </c>
      <c r="F104" t="s">
        <v>149</v>
      </c>
      <c r="G104" t="s">
        <v>123</v>
      </c>
      <c r="H104" t="s">
        <v>124</v>
      </c>
      <c r="I104" t="s">
        <v>32</v>
      </c>
      <c r="J104" t="s">
        <v>191</v>
      </c>
      <c r="K104">
        <v>12057.27</v>
      </c>
      <c r="L104">
        <v>0.154000041382513</v>
      </c>
      <c r="M104">
        <v>2019</v>
      </c>
      <c r="N104" t="s">
        <v>1178</v>
      </c>
      <c r="O104">
        <v>10</v>
      </c>
      <c r="P104" t="s">
        <v>1216</v>
      </c>
    </row>
    <row r="105" spans="1:16" x14ac:dyDescent="0.3">
      <c r="A105" t="s">
        <v>17</v>
      </c>
      <c r="B105">
        <v>122139.94</v>
      </c>
      <c r="C105">
        <v>103684.6</v>
      </c>
      <c r="D105" s="1">
        <v>43507</v>
      </c>
      <c r="E105" t="s">
        <v>51</v>
      </c>
      <c r="F105" t="s">
        <v>195</v>
      </c>
      <c r="G105" t="s">
        <v>19</v>
      </c>
      <c r="H105" t="s">
        <v>157</v>
      </c>
      <c r="I105" t="s">
        <v>27</v>
      </c>
      <c r="J105" t="s">
        <v>196</v>
      </c>
      <c r="K105">
        <v>18455.34</v>
      </c>
      <c r="L105">
        <v>0.151099959603714</v>
      </c>
      <c r="M105">
        <v>2019</v>
      </c>
      <c r="N105" t="s">
        <v>1181</v>
      </c>
      <c r="O105">
        <v>2</v>
      </c>
      <c r="P105" t="s">
        <v>1217</v>
      </c>
    </row>
    <row r="106" spans="1:16" x14ac:dyDescent="0.3">
      <c r="A106" t="s">
        <v>17</v>
      </c>
      <c r="B106">
        <v>52805.94</v>
      </c>
      <c r="C106">
        <v>43791.97</v>
      </c>
      <c r="D106" s="1">
        <v>44004</v>
      </c>
      <c r="E106" t="s">
        <v>51</v>
      </c>
      <c r="F106" t="s">
        <v>80</v>
      </c>
      <c r="G106" t="s">
        <v>19</v>
      </c>
      <c r="H106" t="s">
        <v>20</v>
      </c>
      <c r="I106" t="s">
        <v>27</v>
      </c>
      <c r="J106" t="s">
        <v>201</v>
      </c>
      <c r="K106">
        <v>9013.9699999999993</v>
      </c>
      <c r="L106">
        <v>0.17069992504631101</v>
      </c>
      <c r="M106">
        <v>2020</v>
      </c>
      <c r="N106" t="s">
        <v>1179</v>
      </c>
      <c r="O106">
        <v>6</v>
      </c>
      <c r="P106" t="s">
        <v>1214</v>
      </c>
    </row>
    <row r="107" spans="1:16" x14ac:dyDescent="0.3">
      <c r="A107" t="s">
        <v>17</v>
      </c>
      <c r="B107">
        <v>80781.62</v>
      </c>
      <c r="C107">
        <v>68971.350000000006</v>
      </c>
      <c r="D107" s="1">
        <v>43484</v>
      </c>
      <c r="E107" t="s">
        <v>51</v>
      </c>
      <c r="F107" t="s">
        <v>211</v>
      </c>
      <c r="G107" t="s">
        <v>19</v>
      </c>
      <c r="H107" t="s">
        <v>157</v>
      </c>
      <c r="I107" t="s">
        <v>32</v>
      </c>
      <c r="J107" t="s">
        <v>212</v>
      </c>
      <c r="K107">
        <v>11810.27</v>
      </c>
      <c r="L107">
        <v>0.14619996479397199</v>
      </c>
      <c r="M107">
        <v>2019</v>
      </c>
      <c r="N107" t="s">
        <v>1177</v>
      </c>
      <c r="O107">
        <v>1</v>
      </c>
      <c r="P107" t="s">
        <v>1217</v>
      </c>
    </row>
    <row r="108" spans="1:16" x14ac:dyDescent="0.3">
      <c r="A108" t="s">
        <v>17</v>
      </c>
      <c r="B108">
        <v>123672.7</v>
      </c>
      <c r="C108">
        <v>106036.97</v>
      </c>
      <c r="D108" s="1">
        <v>44148</v>
      </c>
      <c r="E108" t="s">
        <v>51</v>
      </c>
      <c r="F108" t="s">
        <v>211</v>
      </c>
      <c r="G108" t="s">
        <v>19</v>
      </c>
      <c r="H108" t="s">
        <v>31</v>
      </c>
      <c r="I108" t="s">
        <v>27</v>
      </c>
      <c r="J108" t="s">
        <v>213</v>
      </c>
      <c r="K108">
        <v>17635.73</v>
      </c>
      <c r="L108">
        <v>0.14260002409585901</v>
      </c>
      <c r="M108">
        <v>2020</v>
      </c>
      <c r="N108" t="s">
        <v>1180</v>
      </c>
      <c r="O108">
        <v>11</v>
      </c>
      <c r="P108" t="s">
        <v>1216</v>
      </c>
    </row>
    <row r="109" spans="1:16" x14ac:dyDescent="0.3">
      <c r="A109" t="s">
        <v>17</v>
      </c>
      <c r="B109">
        <v>150135</v>
      </c>
      <c r="C109">
        <v>131067.85</v>
      </c>
      <c r="D109" s="1">
        <v>44083</v>
      </c>
      <c r="E109" t="s">
        <v>51</v>
      </c>
      <c r="F109" t="s">
        <v>244</v>
      </c>
      <c r="G109" t="s">
        <v>19</v>
      </c>
      <c r="H109" t="s">
        <v>49</v>
      </c>
      <c r="I109" t="s">
        <v>27</v>
      </c>
      <c r="J109" t="s">
        <v>245</v>
      </c>
      <c r="K109">
        <v>19067.150000000001</v>
      </c>
      <c r="L109">
        <v>0.12700003330335999</v>
      </c>
      <c r="M109">
        <v>2020</v>
      </c>
      <c r="N109" t="s">
        <v>1175</v>
      </c>
      <c r="O109">
        <v>9</v>
      </c>
      <c r="P109" t="s">
        <v>1216</v>
      </c>
    </row>
    <row r="110" spans="1:16" x14ac:dyDescent="0.3">
      <c r="A110" t="s">
        <v>10</v>
      </c>
      <c r="B110">
        <v>151315.26</v>
      </c>
      <c r="C110">
        <v>121173.26</v>
      </c>
      <c r="D110" s="1">
        <v>43608</v>
      </c>
      <c r="E110" t="s">
        <v>76</v>
      </c>
      <c r="F110" t="s">
        <v>89</v>
      </c>
      <c r="G110" t="s">
        <v>13</v>
      </c>
      <c r="H110" t="s">
        <v>110</v>
      </c>
      <c r="I110" t="s">
        <v>27</v>
      </c>
      <c r="J110" t="s">
        <v>200</v>
      </c>
      <c r="K110">
        <v>30142</v>
      </c>
      <c r="L110">
        <v>0.19920000137461399</v>
      </c>
      <c r="M110">
        <v>2019</v>
      </c>
      <c r="N110" t="s">
        <v>1173</v>
      </c>
      <c r="O110">
        <v>5</v>
      </c>
      <c r="P110" t="s">
        <v>1215</v>
      </c>
    </row>
    <row r="111" spans="1:16" x14ac:dyDescent="0.3">
      <c r="A111" t="s">
        <v>10</v>
      </c>
      <c r="B111">
        <v>250315.06</v>
      </c>
      <c r="C111">
        <v>218825.43</v>
      </c>
      <c r="D111" s="1">
        <v>43684</v>
      </c>
      <c r="E111" t="s">
        <v>76</v>
      </c>
      <c r="F111" t="s">
        <v>211</v>
      </c>
      <c r="G111" t="s">
        <v>13</v>
      </c>
      <c r="H111" t="s">
        <v>46</v>
      </c>
      <c r="I111" t="s">
        <v>27</v>
      </c>
      <c r="J111" t="s">
        <v>235</v>
      </c>
      <c r="K111">
        <v>31489.63</v>
      </c>
      <c r="L111">
        <v>0.125799981830897</v>
      </c>
      <c r="M111">
        <v>2019</v>
      </c>
      <c r="N111" t="s">
        <v>1171</v>
      </c>
      <c r="O111">
        <v>8</v>
      </c>
      <c r="P111" t="s">
        <v>1214</v>
      </c>
    </row>
    <row r="112" spans="1:16" x14ac:dyDescent="0.3">
      <c r="A112" t="s">
        <v>10</v>
      </c>
      <c r="B112">
        <v>89376.84</v>
      </c>
      <c r="C112">
        <v>73646.52</v>
      </c>
      <c r="D112" s="1">
        <v>43513</v>
      </c>
      <c r="E112" t="s">
        <v>76</v>
      </c>
      <c r="F112" t="s">
        <v>56</v>
      </c>
      <c r="G112" t="s">
        <v>13</v>
      </c>
      <c r="H112" t="s">
        <v>46</v>
      </c>
      <c r="I112" t="s">
        <v>27</v>
      </c>
      <c r="J112" t="s">
        <v>243</v>
      </c>
      <c r="K112">
        <v>15730.32</v>
      </c>
      <c r="L112">
        <v>0.17599995703585</v>
      </c>
      <c r="M112">
        <v>2019</v>
      </c>
      <c r="N112" t="s">
        <v>1181</v>
      </c>
      <c r="O112">
        <v>2</v>
      </c>
      <c r="P112" t="s">
        <v>1217</v>
      </c>
    </row>
    <row r="113" spans="1:16" x14ac:dyDescent="0.3">
      <c r="A113" t="s">
        <v>122</v>
      </c>
      <c r="B113">
        <v>95960.77</v>
      </c>
      <c r="C113">
        <v>76519.12</v>
      </c>
      <c r="D113" s="1">
        <v>44145</v>
      </c>
      <c r="E113" t="s">
        <v>91</v>
      </c>
      <c r="F113" t="s">
        <v>106</v>
      </c>
      <c r="G113" t="s">
        <v>123</v>
      </c>
      <c r="H113" t="s">
        <v>124</v>
      </c>
      <c r="I113" t="s">
        <v>27</v>
      </c>
      <c r="J113" t="s">
        <v>205</v>
      </c>
      <c r="K113">
        <v>19441.650000000001</v>
      </c>
      <c r="L113">
        <v>0.20259997913730801</v>
      </c>
      <c r="M113">
        <v>2020</v>
      </c>
      <c r="N113" t="s">
        <v>1180</v>
      </c>
      <c r="O113">
        <v>11</v>
      </c>
      <c r="P113" t="s">
        <v>1216</v>
      </c>
    </row>
    <row r="114" spans="1:16" x14ac:dyDescent="0.3">
      <c r="A114" t="s">
        <v>143</v>
      </c>
      <c r="B114">
        <v>113193.9204</v>
      </c>
      <c r="C114">
        <v>190767.27</v>
      </c>
      <c r="D114" s="1">
        <v>43641</v>
      </c>
      <c r="E114" t="s">
        <v>23</v>
      </c>
      <c r="F114" t="s">
        <v>30</v>
      </c>
      <c r="G114" t="s">
        <v>145</v>
      </c>
      <c r="H114" t="s">
        <v>206</v>
      </c>
      <c r="I114" t="s">
        <v>32</v>
      </c>
      <c r="J114" t="s">
        <v>207</v>
      </c>
      <c r="K114">
        <v>-77573.349600000001</v>
      </c>
      <c r="L114">
        <v>-0.685313745878529</v>
      </c>
      <c r="M114">
        <v>2019</v>
      </c>
      <c r="N114" t="s">
        <v>1179</v>
      </c>
      <c r="O114">
        <v>6</v>
      </c>
      <c r="P114" t="s">
        <v>1214</v>
      </c>
    </row>
    <row r="115" spans="1:16" x14ac:dyDescent="0.3">
      <c r="A115" t="s">
        <v>216</v>
      </c>
      <c r="B115">
        <v>149956.93</v>
      </c>
      <c r="C115">
        <v>130087.64</v>
      </c>
      <c r="D115" s="1">
        <v>44053</v>
      </c>
      <c r="E115" t="s">
        <v>11</v>
      </c>
      <c r="F115" t="s">
        <v>102</v>
      </c>
      <c r="G115" t="s">
        <v>217</v>
      </c>
      <c r="H115" t="s">
        <v>218</v>
      </c>
      <c r="I115" t="s">
        <v>27</v>
      </c>
      <c r="J115" t="s">
        <v>219</v>
      </c>
      <c r="K115">
        <v>19869.29</v>
      </c>
      <c r="L115">
        <v>0.132499978493825</v>
      </c>
      <c r="M115">
        <v>2020</v>
      </c>
      <c r="N115" t="s">
        <v>1171</v>
      </c>
      <c r="O115">
        <v>8</v>
      </c>
      <c r="P115" t="s">
        <v>1214</v>
      </c>
    </row>
    <row r="116" spans="1:16" x14ac:dyDescent="0.3">
      <c r="A116" t="s">
        <v>34</v>
      </c>
      <c r="B116">
        <v>167615.14000000001</v>
      </c>
      <c r="C116">
        <v>135567.12</v>
      </c>
      <c r="D116" s="1">
        <v>44195</v>
      </c>
      <c r="E116" t="s">
        <v>51</v>
      </c>
      <c r="F116" t="s">
        <v>56</v>
      </c>
      <c r="G116" t="s">
        <v>36</v>
      </c>
      <c r="H116" t="s">
        <v>104</v>
      </c>
      <c r="I116" t="s">
        <v>27</v>
      </c>
      <c r="J116" t="s">
        <v>220</v>
      </c>
      <c r="K116">
        <v>32048.02</v>
      </c>
      <c r="L116">
        <v>0.19120003121436399</v>
      </c>
      <c r="M116">
        <v>2020</v>
      </c>
      <c r="N116" t="s">
        <v>1182</v>
      </c>
      <c r="O116">
        <v>12</v>
      </c>
      <c r="P116" t="s">
        <v>1217</v>
      </c>
    </row>
    <row r="117" spans="1:16" x14ac:dyDescent="0.3">
      <c r="A117" t="s">
        <v>151</v>
      </c>
      <c r="B117">
        <v>84877.87</v>
      </c>
      <c r="C117">
        <v>68454</v>
      </c>
      <c r="D117" s="1">
        <v>43477</v>
      </c>
      <c r="E117" t="s">
        <v>29</v>
      </c>
      <c r="F117" t="s">
        <v>109</v>
      </c>
      <c r="G117" t="s">
        <v>152</v>
      </c>
      <c r="H117" t="s">
        <v>197</v>
      </c>
      <c r="I117" t="s">
        <v>27</v>
      </c>
      <c r="J117" t="s">
        <v>221</v>
      </c>
      <c r="K117">
        <v>16423.87</v>
      </c>
      <c r="L117">
        <v>0.19350002538942099</v>
      </c>
      <c r="M117">
        <v>2019</v>
      </c>
      <c r="N117" t="s">
        <v>1177</v>
      </c>
      <c r="O117">
        <v>1</v>
      </c>
      <c r="P117" t="s">
        <v>1217</v>
      </c>
    </row>
    <row r="118" spans="1:16" x14ac:dyDescent="0.3">
      <c r="A118" t="s">
        <v>151</v>
      </c>
      <c r="B118">
        <v>65831.42</v>
      </c>
      <c r="C118">
        <v>52487.39</v>
      </c>
      <c r="D118" s="1">
        <v>43800</v>
      </c>
      <c r="E118" t="s">
        <v>29</v>
      </c>
      <c r="F118" t="s">
        <v>222</v>
      </c>
      <c r="G118" t="s">
        <v>152</v>
      </c>
      <c r="H118" t="s">
        <v>153</v>
      </c>
      <c r="I118" t="s">
        <v>27</v>
      </c>
      <c r="J118" t="s">
        <v>223</v>
      </c>
      <c r="K118">
        <v>13344.03</v>
      </c>
      <c r="L118">
        <v>0.20270001771190699</v>
      </c>
      <c r="M118">
        <v>2019</v>
      </c>
      <c r="N118" t="s">
        <v>1182</v>
      </c>
      <c r="O118">
        <v>12</v>
      </c>
      <c r="P118" t="s">
        <v>1217</v>
      </c>
    </row>
    <row r="119" spans="1:16" x14ac:dyDescent="0.3">
      <c r="A119" t="s">
        <v>151</v>
      </c>
      <c r="B119">
        <v>80719.44</v>
      </c>
      <c r="C119">
        <v>64422.19</v>
      </c>
      <c r="D119" s="1">
        <v>43710</v>
      </c>
      <c r="E119" t="s">
        <v>23</v>
      </c>
      <c r="F119" t="s">
        <v>56</v>
      </c>
      <c r="G119" t="s">
        <v>152</v>
      </c>
      <c r="H119" t="s">
        <v>197</v>
      </c>
      <c r="I119" t="s">
        <v>27</v>
      </c>
      <c r="J119" t="s">
        <v>224</v>
      </c>
      <c r="K119">
        <v>16297.25</v>
      </c>
      <c r="L119">
        <v>0.20189993884992299</v>
      </c>
      <c r="M119">
        <v>2019</v>
      </c>
      <c r="N119" t="s">
        <v>1175</v>
      </c>
      <c r="O119">
        <v>9</v>
      </c>
      <c r="P119" t="s">
        <v>1216</v>
      </c>
    </row>
    <row r="120" spans="1:16" x14ac:dyDescent="0.3">
      <c r="A120" t="s">
        <v>151</v>
      </c>
      <c r="B120">
        <v>135662.46</v>
      </c>
      <c r="C120">
        <v>116764.68</v>
      </c>
      <c r="D120" s="1">
        <v>43866</v>
      </c>
      <c r="E120" t="s">
        <v>76</v>
      </c>
      <c r="F120" t="s">
        <v>229</v>
      </c>
      <c r="G120" t="s">
        <v>152</v>
      </c>
      <c r="H120" t="s">
        <v>153</v>
      </c>
      <c r="I120" t="s">
        <v>27</v>
      </c>
      <c r="J120" t="s">
        <v>230</v>
      </c>
      <c r="K120">
        <v>18897.78</v>
      </c>
      <c r="L120">
        <v>0.139299995002302</v>
      </c>
      <c r="M120">
        <v>2020</v>
      </c>
      <c r="N120" t="s">
        <v>1181</v>
      </c>
      <c r="O120">
        <v>2</v>
      </c>
      <c r="P120" t="s">
        <v>1217</v>
      </c>
    </row>
    <row r="121" spans="1:16" x14ac:dyDescent="0.3">
      <c r="A121" t="s">
        <v>54</v>
      </c>
      <c r="B121">
        <v>102918.09</v>
      </c>
      <c r="C121">
        <v>87480.38</v>
      </c>
      <c r="D121" s="1">
        <v>43766</v>
      </c>
      <c r="E121" t="s">
        <v>51</v>
      </c>
      <c r="F121" t="s">
        <v>135</v>
      </c>
      <c r="G121" t="s">
        <v>57</v>
      </c>
      <c r="H121" t="s">
        <v>58</v>
      </c>
      <c r="I121" t="s">
        <v>27</v>
      </c>
      <c r="J121" t="s">
        <v>231</v>
      </c>
      <c r="K121">
        <v>15437.71</v>
      </c>
      <c r="L121">
        <v>0.149999965992373</v>
      </c>
      <c r="M121">
        <v>2019</v>
      </c>
      <c r="N121" t="s">
        <v>1178</v>
      </c>
      <c r="O121">
        <v>10</v>
      </c>
      <c r="P121" t="s">
        <v>1216</v>
      </c>
    </row>
    <row r="122" spans="1:16" x14ac:dyDescent="0.3">
      <c r="A122" t="s">
        <v>169</v>
      </c>
      <c r="B122">
        <v>69017.42</v>
      </c>
      <c r="C122">
        <v>55897.21</v>
      </c>
      <c r="D122" s="1">
        <v>43865</v>
      </c>
      <c r="E122" t="s">
        <v>29</v>
      </c>
      <c r="F122" t="s">
        <v>24</v>
      </c>
      <c r="G122" t="s">
        <v>171</v>
      </c>
      <c r="H122" t="s">
        <v>172</v>
      </c>
      <c r="I122" t="s">
        <v>27</v>
      </c>
      <c r="J122" t="s">
        <v>240</v>
      </c>
      <c r="K122">
        <v>13120.21</v>
      </c>
      <c r="L122">
        <v>0.190099977657814</v>
      </c>
      <c r="M122">
        <v>2020</v>
      </c>
      <c r="N122" t="s">
        <v>1181</v>
      </c>
      <c r="O122">
        <v>2</v>
      </c>
      <c r="P122" t="s">
        <v>1217</v>
      </c>
    </row>
    <row r="123" spans="1:16" x14ac:dyDescent="0.3">
      <c r="A123" t="s">
        <v>247</v>
      </c>
      <c r="B123">
        <v>122889.28</v>
      </c>
      <c r="C123">
        <v>103042.66</v>
      </c>
      <c r="D123" s="1">
        <v>44162</v>
      </c>
      <c r="E123" t="s">
        <v>51</v>
      </c>
      <c r="F123" t="s">
        <v>41</v>
      </c>
      <c r="G123" t="s">
        <v>248</v>
      </c>
      <c r="H123" t="s">
        <v>249</v>
      </c>
      <c r="I123" t="s">
        <v>27</v>
      </c>
      <c r="J123" t="s">
        <v>250</v>
      </c>
      <c r="K123">
        <v>19846.62</v>
      </c>
      <c r="L123">
        <v>0.16150001041588</v>
      </c>
      <c r="M123">
        <v>2020</v>
      </c>
      <c r="N123" t="s">
        <v>1180</v>
      </c>
      <c r="O123">
        <v>11</v>
      </c>
      <c r="P123" t="s">
        <v>1216</v>
      </c>
    </row>
    <row r="124" spans="1:16" x14ac:dyDescent="0.3">
      <c r="A124" t="s">
        <v>129</v>
      </c>
      <c r="B124">
        <v>74480.56</v>
      </c>
      <c r="C124">
        <v>60023.88</v>
      </c>
      <c r="D124" s="1">
        <v>43985</v>
      </c>
      <c r="E124" t="s">
        <v>40</v>
      </c>
      <c r="F124" t="s">
        <v>189</v>
      </c>
      <c r="G124" t="s">
        <v>130</v>
      </c>
      <c r="H124" t="s">
        <v>159</v>
      </c>
      <c r="I124" t="s">
        <v>27</v>
      </c>
      <c r="J124" t="s">
        <v>252</v>
      </c>
      <c r="K124">
        <v>14456.68</v>
      </c>
      <c r="L124">
        <v>0.19410004436056899</v>
      </c>
      <c r="M124">
        <v>2020</v>
      </c>
      <c r="N124" t="s">
        <v>1179</v>
      </c>
      <c r="O124">
        <v>6</v>
      </c>
      <c r="P124" t="s">
        <v>1214</v>
      </c>
    </row>
    <row r="125" spans="1:16" x14ac:dyDescent="0.3">
      <c r="A125" t="s">
        <v>34</v>
      </c>
      <c r="B125">
        <v>27987.13</v>
      </c>
      <c r="C125">
        <v>24001.759999999998</v>
      </c>
      <c r="D125" s="1">
        <v>43550</v>
      </c>
      <c r="E125" t="s">
        <v>11</v>
      </c>
      <c r="F125" t="s">
        <v>41</v>
      </c>
      <c r="G125" t="s">
        <v>36</v>
      </c>
      <c r="H125" t="s">
        <v>37</v>
      </c>
      <c r="I125" t="s">
        <v>27</v>
      </c>
      <c r="J125" t="s">
        <v>253</v>
      </c>
      <c r="K125">
        <v>3985.37</v>
      </c>
      <c r="L125">
        <v>0.142400096044146</v>
      </c>
      <c r="M125">
        <v>2019</v>
      </c>
      <c r="N125" t="s">
        <v>1176</v>
      </c>
      <c r="O125">
        <v>3</v>
      </c>
      <c r="P125" t="s">
        <v>1215</v>
      </c>
    </row>
    <row r="126" spans="1:16" x14ac:dyDescent="0.3">
      <c r="A126" t="s">
        <v>122</v>
      </c>
      <c r="B126">
        <v>159294.28</v>
      </c>
      <c r="C126">
        <v>130605.38</v>
      </c>
      <c r="D126" s="1">
        <v>44082</v>
      </c>
      <c r="E126" t="s">
        <v>40</v>
      </c>
      <c r="F126" t="s">
        <v>71</v>
      </c>
      <c r="G126" t="s">
        <v>123</v>
      </c>
      <c r="H126" t="s">
        <v>254</v>
      </c>
      <c r="I126" t="s">
        <v>27</v>
      </c>
      <c r="J126" t="s">
        <v>255</v>
      </c>
      <c r="K126">
        <v>28688.9</v>
      </c>
      <c r="L126">
        <v>0.18010000107976301</v>
      </c>
      <c r="M126">
        <v>2020</v>
      </c>
      <c r="N126" t="s">
        <v>1175</v>
      </c>
      <c r="O126">
        <v>9</v>
      </c>
      <c r="P126" t="s">
        <v>1216</v>
      </c>
    </row>
    <row r="127" spans="1:16" x14ac:dyDescent="0.3">
      <c r="A127" t="s">
        <v>22</v>
      </c>
      <c r="B127">
        <v>37582.129999999997</v>
      </c>
      <c r="C127">
        <v>31967.360000000001</v>
      </c>
      <c r="D127" s="1">
        <v>44017</v>
      </c>
      <c r="E127" t="s">
        <v>23</v>
      </c>
      <c r="F127" t="s">
        <v>256</v>
      </c>
      <c r="G127" t="s">
        <v>25</v>
      </c>
      <c r="H127" t="s">
        <v>167</v>
      </c>
      <c r="I127" t="s">
        <v>32</v>
      </c>
      <c r="J127" t="s">
        <v>257</v>
      </c>
      <c r="K127">
        <v>5614.77</v>
      </c>
      <c r="L127">
        <v>0.149399994092937</v>
      </c>
      <c r="M127">
        <v>2020</v>
      </c>
      <c r="N127" t="s">
        <v>1174</v>
      </c>
      <c r="O127">
        <v>7</v>
      </c>
      <c r="P127" t="s">
        <v>1214</v>
      </c>
    </row>
    <row r="128" spans="1:16" x14ac:dyDescent="0.3">
      <c r="A128" t="s">
        <v>66</v>
      </c>
      <c r="B128">
        <v>104743.22</v>
      </c>
      <c r="C128">
        <v>83281.33</v>
      </c>
      <c r="D128" s="1">
        <v>43548</v>
      </c>
      <c r="E128" t="s">
        <v>29</v>
      </c>
      <c r="F128" t="s">
        <v>56</v>
      </c>
      <c r="G128" t="s">
        <v>68</v>
      </c>
      <c r="H128" t="s">
        <v>69</v>
      </c>
      <c r="I128" t="s">
        <v>32</v>
      </c>
      <c r="J128" t="s">
        <v>258</v>
      </c>
      <c r="K128">
        <v>21461.89</v>
      </c>
      <c r="L128">
        <v>0.204900040308098</v>
      </c>
      <c r="M128">
        <v>2019</v>
      </c>
      <c r="N128" t="s">
        <v>1176</v>
      </c>
      <c r="O128">
        <v>3</v>
      </c>
      <c r="P128" t="s">
        <v>1215</v>
      </c>
    </row>
    <row r="129" spans="1:16" x14ac:dyDescent="0.3">
      <c r="A129" t="s">
        <v>34</v>
      </c>
      <c r="B129">
        <v>151012.12</v>
      </c>
      <c r="C129">
        <v>126080.02</v>
      </c>
      <c r="D129" s="1">
        <v>44068</v>
      </c>
      <c r="E129" t="s">
        <v>55</v>
      </c>
      <c r="F129" t="s">
        <v>56</v>
      </c>
      <c r="G129" t="s">
        <v>36</v>
      </c>
      <c r="H129" t="s">
        <v>93</v>
      </c>
      <c r="I129" t="s">
        <v>27</v>
      </c>
      <c r="J129" t="s">
        <v>259</v>
      </c>
      <c r="K129">
        <v>24932.1</v>
      </c>
      <c r="L129">
        <v>0.16509999329855099</v>
      </c>
      <c r="M129">
        <v>2020</v>
      </c>
      <c r="N129" t="s">
        <v>1171</v>
      </c>
      <c r="O129">
        <v>8</v>
      </c>
      <c r="P129" t="s">
        <v>1214</v>
      </c>
    </row>
    <row r="130" spans="1:16" x14ac:dyDescent="0.3">
      <c r="A130" t="s">
        <v>10</v>
      </c>
      <c r="B130">
        <v>233858.47</v>
      </c>
      <c r="C130">
        <v>185543.31</v>
      </c>
      <c r="D130" s="1">
        <v>43867</v>
      </c>
      <c r="E130" t="s">
        <v>76</v>
      </c>
      <c r="F130" t="s">
        <v>45</v>
      </c>
      <c r="G130" t="s">
        <v>13</v>
      </c>
      <c r="H130" t="s">
        <v>46</v>
      </c>
      <c r="I130" t="s">
        <v>27</v>
      </c>
      <c r="J130" t="s">
        <v>260</v>
      </c>
      <c r="K130">
        <v>48315.16</v>
      </c>
      <c r="L130">
        <v>0.20660000041905699</v>
      </c>
      <c r="M130">
        <v>2020</v>
      </c>
      <c r="N130" t="s">
        <v>1181</v>
      </c>
      <c r="O130">
        <v>2</v>
      </c>
      <c r="P130" t="s">
        <v>1217</v>
      </c>
    </row>
    <row r="131" spans="1:16" x14ac:dyDescent="0.3">
      <c r="A131" t="s">
        <v>34</v>
      </c>
      <c r="B131">
        <v>83097.399999999994</v>
      </c>
      <c r="C131">
        <v>68148.179999999993</v>
      </c>
      <c r="D131" s="1">
        <v>43546</v>
      </c>
      <c r="E131" t="s">
        <v>40</v>
      </c>
      <c r="F131" t="s">
        <v>229</v>
      </c>
      <c r="G131" t="s">
        <v>36</v>
      </c>
      <c r="H131" t="s">
        <v>93</v>
      </c>
      <c r="I131" t="s">
        <v>15</v>
      </c>
      <c r="J131" t="s">
        <v>261</v>
      </c>
      <c r="K131">
        <v>14949.22</v>
      </c>
      <c r="L131">
        <v>0.17989997280299999</v>
      </c>
      <c r="M131">
        <v>2019</v>
      </c>
      <c r="N131" t="s">
        <v>1176</v>
      </c>
      <c r="O131">
        <v>3</v>
      </c>
      <c r="P131" t="s">
        <v>1215</v>
      </c>
    </row>
    <row r="132" spans="1:16" x14ac:dyDescent="0.3">
      <c r="A132" t="s">
        <v>143</v>
      </c>
      <c r="B132">
        <v>68745.86</v>
      </c>
      <c r="C132">
        <v>58014.63</v>
      </c>
      <c r="D132" s="1">
        <v>43712</v>
      </c>
      <c r="E132" t="s">
        <v>29</v>
      </c>
      <c r="F132" t="s">
        <v>41</v>
      </c>
      <c r="G132" t="s">
        <v>145</v>
      </c>
      <c r="H132" t="s">
        <v>262</v>
      </c>
      <c r="I132" t="s">
        <v>27</v>
      </c>
      <c r="J132" t="s">
        <v>263</v>
      </c>
      <c r="K132">
        <v>10731.23</v>
      </c>
      <c r="L132">
        <v>0.15610001824109801</v>
      </c>
      <c r="M132">
        <v>2019</v>
      </c>
      <c r="N132" t="s">
        <v>1175</v>
      </c>
      <c r="O132">
        <v>9</v>
      </c>
      <c r="P132" t="s">
        <v>1216</v>
      </c>
    </row>
    <row r="133" spans="1:16" x14ac:dyDescent="0.3">
      <c r="A133" t="s">
        <v>151</v>
      </c>
      <c r="B133">
        <v>99887.86</v>
      </c>
      <c r="C133">
        <v>84045.65</v>
      </c>
      <c r="D133" s="1">
        <v>44107</v>
      </c>
      <c r="E133" t="s">
        <v>29</v>
      </c>
      <c r="F133" t="s">
        <v>74</v>
      </c>
      <c r="G133" t="s">
        <v>152</v>
      </c>
      <c r="H133" t="s">
        <v>197</v>
      </c>
      <c r="I133" t="s">
        <v>27</v>
      </c>
      <c r="J133" t="s">
        <v>264</v>
      </c>
      <c r="K133">
        <v>15842.21</v>
      </c>
      <c r="L133">
        <v>0.15859995398840299</v>
      </c>
      <c r="M133">
        <v>2020</v>
      </c>
      <c r="N133" t="s">
        <v>1178</v>
      </c>
      <c r="O133">
        <v>10</v>
      </c>
      <c r="P133" t="s">
        <v>1216</v>
      </c>
    </row>
    <row r="134" spans="1:16" x14ac:dyDescent="0.3">
      <c r="A134" t="s">
        <v>17</v>
      </c>
      <c r="B134">
        <v>212521.26</v>
      </c>
      <c r="C134">
        <v>172014.71</v>
      </c>
      <c r="D134" s="1">
        <v>43636</v>
      </c>
      <c r="E134" t="s">
        <v>91</v>
      </c>
      <c r="F134" t="s">
        <v>56</v>
      </c>
      <c r="G134" t="s">
        <v>19</v>
      </c>
      <c r="H134" t="s">
        <v>31</v>
      </c>
      <c r="I134" t="s">
        <v>27</v>
      </c>
      <c r="J134" t="s">
        <v>265</v>
      </c>
      <c r="K134">
        <v>40506.550000000003</v>
      </c>
      <c r="L134">
        <v>0.19059998985513299</v>
      </c>
      <c r="M134">
        <v>2019</v>
      </c>
      <c r="N134" t="s">
        <v>1179</v>
      </c>
      <c r="O134">
        <v>6</v>
      </c>
      <c r="P134" t="s">
        <v>1214</v>
      </c>
    </row>
    <row r="135" spans="1:16" x14ac:dyDescent="0.3">
      <c r="A135" t="s">
        <v>54</v>
      </c>
      <c r="B135">
        <v>161217.16</v>
      </c>
      <c r="C135">
        <v>135696.48000000001</v>
      </c>
      <c r="D135" s="1">
        <v>43758</v>
      </c>
      <c r="E135" t="s">
        <v>11</v>
      </c>
      <c r="F135" t="s">
        <v>41</v>
      </c>
      <c r="G135" t="s">
        <v>57</v>
      </c>
      <c r="H135" t="s">
        <v>58</v>
      </c>
      <c r="I135" t="s">
        <v>27</v>
      </c>
      <c r="J135" t="s">
        <v>266</v>
      </c>
      <c r="K135">
        <v>25520.68</v>
      </c>
      <c r="L135">
        <v>0.15830002215645</v>
      </c>
      <c r="M135">
        <v>2019</v>
      </c>
      <c r="N135" t="s">
        <v>1178</v>
      </c>
      <c r="O135">
        <v>10</v>
      </c>
      <c r="P135" t="s">
        <v>1216</v>
      </c>
    </row>
    <row r="136" spans="1:16" x14ac:dyDescent="0.3">
      <c r="A136" t="s">
        <v>10</v>
      </c>
      <c r="B136">
        <v>78542.59</v>
      </c>
      <c r="C136">
        <v>68010.03</v>
      </c>
      <c r="D136" s="1">
        <v>43611</v>
      </c>
      <c r="E136" t="s">
        <v>11</v>
      </c>
      <c r="F136" t="s">
        <v>80</v>
      </c>
      <c r="G136" t="s">
        <v>13</v>
      </c>
      <c r="H136" t="s">
        <v>110</v>
      </c>
      <c r="I136" t="s">
        <v>27</v>
      </c>
      <c r="J136" t="s">
        <v>267</v>
      </c>
      <c r="K136">
        <v>10532.56</v>
      </c>
      <c r="L136">
        <v>0.13409998320656299</v>
      </c>
      <c r="M136">
        <v>2019</v>
      </c>
      <c r="N136" t="s">
        <v>1173</v>
      </c>
      <c r="O136">
        <v>5</v>
      </c>
      <c r="P136" t="s">
        <v>1215</v>
      </c>
    </row>
    <row r="137" spans="1:16" x14ac:dyDescent="0.3">
      <c r="A137" t="s">
        <v>34</v>
      </c>
      <c r="B137">
        <v>90559.16</v>
      </c>
      <c r="C137">
        <v>75318.05</v>
      </c>
      <c r="D137" s="1">
        <v>43703</v>
      </c>
      <c r="E137" t="s">
        <v>181</v>
      </c>
      <c r="F137" t="s">
        <v>92</v>
      </c>
      <c r="G137" t="s">
        <v>36</v>
      </c>
      <c r="H137" t="s">
        <v>37</v>
      </c>
      <c r="I137" t="s">
        <v>27</v>
      </c>
      <c r="J137" t="s">
        <v>268</v>
      </c>
      <c r="K137">
        <v>15241.11</v>
      </c>
      <c r="L137">
        <v>0.16830003723532799</v>
      </c>
      <c r="M137">
        <v>2019</v>
      </c>
      <c r="N137" t="s">
        <v>1171</v>
      </c>
      <c r="O137">
        <v>8</v>
      </c>
      <c r="P137" t="s">
        <v>1214</v>
      </c>
    </row>
    <row r="138" spans="1:16" x14ac:dyDescent="0.3">
      <c r="A138" t="s">
        <v>10</v>
      </c>
      <c r="B138">
        <v>240940.97</v>
      </c>
      <c r="C138">
        <v>195138.09</v>
      </c>
      <c r="D138" s="1">
        <v>43826</v>
      </c>
      <c r="E138" t="s">
        <v>55</v>
      </c>
      <c r="F138" t="s">
        <v>269</v>
      </c>
      <c r="G138" t="s">
        <v>13</v>
      </c>
      <c r="H138" t="s">
        <v>14</v>
      </c>
      <c r="I138" t="s">
        <v>27</v>
      </c>
      <c r="J138" t="s">
        <v>270</v>
      </c>
      <c r="K138">
        <v>45802.879999999997</v>
      </c>
      <c r="L138">
        <v>0.19010000665308199</v>
      </c>
      <c r="M138">
        <v>2019</v>
      </c>
      <c r="N138" t="s">
        <v>1182</v>
      </c>
      <c r="O138">
        <v>12</v>
      </c>
      <c r="P138" t="s">
        <v>1217</v>
      </c>
    </row>
    <row r="139" spans="1:16" x14ac:dyDescent="0.3">
      <c r="A139" t="s">
        <v>17</v>
      </c>
      <c r="B139">
        <v>133754.65</v>
      </c>
      <c r="C139">
        <v>106147.69</v>
      </c>
      <c r="D139" s="1">
        <v>44092</v>
      </c>
      <c r="E139" t="s">
        <v>11</v>
      </c>
      <c r="F139" t="s">
        <v>126</v>
      </c>
      <c r="G139" t="s">
        <v>19</v>
      </c>
      <c r="H139" t="s">
        <v>157</v>
      </c>
      <c r="I139" t="s">
        <v>27</v>
      </c>
      <c r="J139" t="s">
        <v>271</v>
      </c>
      <c r="K139">
        <v>27606.959999999999</v>
      </c>
      <c r="L139">
        <v>0.20640000179432999</v>
      </c>
      <c r="M139">
        <v>2020</v>
      </c>
      <c r="N139" t="s">
        <v>1175</v>
      </c>
      <c r="O139">
        <v>9</v>
      </c>
      <c r="P139" t="s">
        <v>1216</v>
      </c>
    </row>
    <row r="140" spans="1:16" x14ac:dyDescent="0.3">
      <c r="A140" t="s">
        <v>10</v>
      </c>
      <c r="B140">
        <v>17524.02</v>
      </c>
      <c r="C140">
        <v>14122.61</v>
      </c>
      <c r="D140" s="1">
        <v>44167</v>
      </c>
      <c r="E140" t="s">
        <v>91</v>
      </c>
      <c r="F140" t="s">
        <v>272</v>
      </c>
      <c r="G140" t="s">
        <v>13</v>
      </c>
      <c r="H140" t="s">
        <v>72</v>
      </c>
      <c r="I140" t="s">
        <v>32</v>
      </c>
      <c r="J140" t="s">
        <v>273</v>
      </c>
      <c r="K140">
        <v>3401.41</v>
      </c>
      <c r="L140">
        <v>0.194099869778738</v>
      </c>
      <c r="M140">
        <v>2020</v>
      </c>
      <c r="N140" t="s">
        <v>1182</v>
      </c>
      <c r="O140">
        <v>12</v>
      </c>
      <c r="P140" t="s">
        <v>1217</v>
      </c>
    </row>
    <row r="141" spans="1:16" x14ac:dyDescent="0.3">
      <c r="A141" t="s">
        <v>10</v>
      </c>
      <c r="B141">
        <v>57927.54</v>
      </c>
      <c r="C141">
        <v>48914.01</v>
      </c>
      <c r="D141" s="1">
        <v>43483</v>
      </c>
      <c r="E141" t="s">
        <v>11</v>
      </c>
      <c r="F141" t="s">
        <v>62</v>
      </c>
      <c r="G141" t="s">
        <v>13</v>
      </c>
      <c r="H141" t="s">
        <v>46</v>
      </c>
      <c r="I141" t="s">
        <v>32</v>
      </c>
      <c r="J141" t="s">
        <v>274</v>
      </c>
      <c r="K141">
        <v>9013.5300000000007</v>
      </c>
      <c r="L141">
        <v>0.155600082447831</v>
      </c>
      <c r="M141">
        <v>2019</v>
      </c>
      <c r="N141" t="s">
        <v>1177</v>
      </c>
      <c r="O141">
        <v>1</v>
      </c>
      <c r="P141" t="s">
        <v>1217</v>
      </c>
    </row>
    <row r="142" spans="1:16" x14ac:dyDescent="0.3">
      <c r="A142" t="s">
        <v>129</v>
      </c>
      <c r="B142">
        <v>100978.49</v>
      </c>
      <c r="C142">
        <v>86568.86</v>
      </c>
      <c r="D142" s="1">
        <v>43716</v>
      </c>
      <c r="E142" t="s">
        <v>23</v>
      </c>
      <c r="F142" t="s">
        <v>56</v>
      </c>
      <c r="G142" t="s">
        <v>130</v>
      </c>
      <c r="H142" t="s">
        <v>159</v>
      </c>
      <c r="I142" t="s">
        <v>27</v>
      </c>
      <c r="J142" t="s">
        <v>275</v>
      </c>
      <c r="K142">
        <v>14409.63</v>
      </c>
      <c r="L142">
        <v>0.14269999482067899</v>
      </c>
      <c r="M142">
        <v>2019</v>
      </c>
      <c r="N142" t="s">
        <v>1175</v>
      </c>
      <c r="O142">
        <v>9</v>
      </c>
      <c r="P142" t="s">
        <v>1216</v>
      </c>
    </row>
    <row r="143" spans="1:16" x14ac:dyDescent="0.3">
      <c r="A143" t="s">
        <v>151</v>
      </c>
      <c r="B143">
        <v>36070.76</v>
      </c>
      <c r="C143">
        <v>29339.96</v>
      </c>
      <c r="D143" s="1">
        <v>43602</v>
      </c>
      <c r="E143" t="s">
        <v>99</v>
      </c>
      <c r="F143" t="s">
        <v>74</v>
      </c>
      <c r="G143" t="s">
        <v>152</v>
      </c>
      <c r="H143" t="s">
        <v>197</v>
      </c>
      <c r="I143" t="s">
        <v>32</v>
      </c>
      <c r="J143" t="s">
        <v>276</v>
      </c>
      <c r="K143">
        <v>6730.8</v>
      </c>
      <c r="L143">
        <v>0.18659989420793999</v>
      </c>
      <c r="M143">
        <v>2019</v>
      </c>
      <c r="N143" t="s">
        <v>1173</v>
      </c>
      <c r="O143">
        <v>5</v>
      </c>
      <c r="P143" t="s">
        <v>1215</v>
      </c>
    </row>
    <row r="144" spans="1:16" x14ac:dyDescent="0.3">
      <c r="A144" t="s">
        <v>22</v>
      </c>
      <c r="B144">
        <v>104711.22</v>
      </c>
      <c r="C144">
        <v>90868.4</v>
      </c>
      <c r="D144" s="1">
        <v>44068</v>
      </c>
      <c r="E144" t="s">
        <v>40</v>
      </c>
      <c r="F144" t="s">
        <v>277</v>
      </c>
      <c r="G144" t="s">
        <v>25</v>
      </c>
      <c r="H144" t="s">
        <v>26</v>
      </c>
      <c r="I144" t="s">
        <v>27</v>
      </c>
      <c r="J144" t="s">
        <v>278</v>
      </c>
      <c r="K144">
        <v>13842.82</v>
      </c>
      <c r="L144">
        <v>0.13219996863755401</v>
      </c>
      <c r="M144">
        <v>2020</v>
      </c>
      <c r="N144" t="s">
        <v>1171</v>
      </c>
      <c r="O144">
        <v>8</v>
      </c>
      <c r="P144" t="s">
        <v>1214</v>
      </c>
    </row>
    <row r="145" spans="1:16" x14ac:dyDescent="0.3">
      <c r="A145" t="s">
        <v>22</v>
      </c>
      <c r="B145">
        <v>90994.31</v>
      </c>
      <c r="C145">
        <v>72540.66</v>
      </c>
      <c r="D145" s="1">
        <v>44079</v>
      </c>
      <c r="E145" t="s">
        <v>29</v>
      </c>
      <c r="F145" t="s">
        <v>109</v>
      </c>
      <c r="G145" t="s">
        <v>25</v>
      </c>
      <c r="H145" t="s">
        <v>87</v>
      </c>
      <c r="I145" t="s">
        <v>27</v>
      </c>
      <c r="J145" t="s">
        <v>279</v>
      </c>
      <c r="K145">
        <v>18453.650000000001</v>
      </c>
      <c r="L145">
        <v>0.202800043211493</v>
      </c>
      <c r="M145">
        <v>2020</v>
      </c>
      <c r="N145" t="s">
        <v>1175</v>
      </c>
      <c r="O145">
        <v>9</v>
      </c>
      <c r="P145" t="s">
        <v>1216</v>
      </c>
    </row>
    <row r="146" spans="1:16" x14ac:dyDescent="0.3">
      <c r="A146" t="s">
        <v>122</v>
      </c>
      <c r="B146">
        <v>105277.2</v>
      </c>
      <c r="C146">
        <v>90759.47</v>
      </c>
      <c r="D146" s="1">
        <v>43790</v>
      </c>
      <c r="E146" t="s">
        <v>91</v>
      </c>
      <c r="F146" t="s">
        <v>102</v>
      </c>
      <c r="G146" t="s">
        <v>123</v>
      </c>
      <c r="H146" t="s">
        <v>254</v>
      </c>
      <c r="I146" t="s">
        <v>27</v>
      </c>
      <c r="J146" t="s">
        <v>280</v>
      </c>
      <c r="K146">
        <v>14517.73</v>
      </c>
      <c r="L146">
        <v>0.137900039134779</v>
      </c>
      <c r="M146">
        <v>2019</v>
      </c>
      <c r="N146" t="s">
        <v>1180</v>
      </c>
      <c r="O146">
        <v>11</v>
      </c>
      <c r="P146" t="s">
        <v>1216</v>
      </c>
    </row>
    <row r="147" spans="1:16" x14ac:dyDescent="0.3">
      <c r="A147" t="s">
        <v>129</v>
      </c>
      <c r="B147">
        <v>194962.05</v>
      </c>
      <c r="C147">
        <v>154975.32999999999</v>
      </c>
      <c r="D147" s="1">
        <v>43958</v>
      </c>
      <c r="E147" t="s">
        <v>23</v>
      </c>
      <c r="F147" t="s">
        <v>149</v>
      </c>
      <c r="G147" t="s">
        <v>130</v>
      </c>
      <c r="H147" t="s">
        <v>131</v>
      </c>
      <c r="I147" t="s">
        <v>27</v>
      </c>
      <c r="J147" t="s">
        <v>281</v>
      </c>
      <c r="K147">
        <v>39986.720000000001</v>
      </c>
      <c r="L147">
        <v>0.20510001818302601</v>
      </c>
      <c r="M147">
        <v>2020</v>
      </c>
      <c r="N147" t="s">
        <v>1173</v>
      </c>
      <c r="O147">
        <v>5</v>
      </c>
      <c r="P147" t="s">
        <v>1215</v>
      </c>
    </row>
    <row r="148" spans="1:16" x14ac:dyDescent="0.3">
      <c r="A148" t="s">
        <v>22</v>
      </c>
      <c r="B148">
        <v>85515.6</v>
      </c>
      <c r="C148">
        <v>67959.25</v>
      </c>
      <c r="D148" s="1">
        <v>43751</v>
      </c>
      <c r="E148" t="s">
        <v>11</v>
      </c>
      <c r="F148" t="s">
        <v>244</v>
      </c>
      <c r="G148" t="s">
        <v>25</v>
      </c>
      <c r="H148" t="s">
        <v>87</v>
      </c>
      <c r="I148" t="s">
        <v>27</v>
      </c>
      <c r="J148" t="s">
        <v>282</v>
      </c>
      <c r="K148">
        <v>17556.349999999999</v>
      </c>
      <c r="L148">
        <v>0.205299968660689</v>
      </c>
      <c r="M148">
        <v>2019</v>
      </c>
      <c r="N148" t="s">
        <v>1178</v>
      </c>
      <c r="O148">
        <v>10</v>
      </c>
      <c r="P148" t="s">
        <v>1216</v>
      </c>
    </row>
    <row r="149" spans="1:16" x14ac:dyDescent="0.3">
      <c r="A149" t="s">
        <v>17</v>
      </c>
      <c r="B149">
        <v>84035.82</v>
      </c>
      <c r="C149">
        <v>71329.600000000006</v>
      </c>
      <c r="D149" s="1">
        <v>44131</v>
      </c>
      <c r="E149" t="s">
        <v>91</v>
      </c>
      <c r="F149" t="s">
        <v>56</v>
      </c>
      <c r="G149" t="s">
        <v>19</v>
      </c>
      <c r="H149" t="s">
        <v>78</v>
      </c>
      <c r="I149" t="s">
        <v>15</v>
      </c>
      <c r="J149" t="s">
        <v>283</v>
      </c>
      <c r="K149">
        <v>12706.22</v>
      </c>
      <c r="L149">
        <v>0.151200047789145</v>
      </c>
      <c r="M149">
        <v>2020</v>
      </c>
      <c r="N149" t="s">
        <v>1178</v>
      </c>
      <c r="O149">
        <v>10</v>
      </c>
      <c r="P149" t="s">
        <v>1216</v>
      </c>
    </row>
    <row r="150" spans="1:16" x14ac:dyDescent="0.3">
      <c r="A150" t="s">
        <v>10</v>
      </c>
      <c r="B150">
        <v>93996.68</v>
      </c>
      <c r="C150">
        <v>77171.27</v>
      </c>
      <c r="D150" s="1">
        <v>44114</v>
      </c>
      <c r="E150" t="s">
        <v>11</v>
      </c>
      <c r="F150" t="s">
        <v>135</v>
      </c>
      <c r="G150" t="s">
        <v>13</v>
      </c>
      <c r="H150" t="s">
        <v>46</v>
      </c>
      <c r="I150" t="s">
        <v>32</v>
      </c>
      <c r="J150" t="s">
        <v>284</v>
      </c>
      <c r="K150">
        <v>16825.41</v>
      </c>
      <c r="L150">
        <v>0.179000045533523</v>
      </c>
      <c r="M150">
        <v>2020</v>
      </c>
      <c r="N150" t="s">
        <v>1178</v>
      </c>
      <c r="O150">
        <v>10</v>
      </c>
      <c r="P150" t="s">
        <v>1216</v>
      </c>
    </row>
    <row r="151" spans="1:16" x14ac:dyDescent="0.3">
      <c r="A151" t="s">
        <v>17</v>
      </c>
      <c r="B151">
        <v>31161.759999999998</v>
      </c>
      <c r="C151">
        <v>27300.82</v>
      </c>
      <c r="D151" s="1">
        <v>44079</v>
      </c>
      <c r="E151" t="s">
        <v>76</v>
      </c>
      <c r="F151" t="s">
        <v>285</v>
      </c>
      <c r="G151" t="s">
        <v>19</v>
      </c>
      <c r="H151" t="s">
        <v>78</v>
      </c>
      <c r="I151" t="s">
        <v>32</v>
      </c>
      <c r="J151" t="s">
        <v>286</v>
      </c>
      <c r="K151">
        <v>3860.94</v>
      </c>
      <c r="L151">
        <v>0.12389993376497301</v>
      </c>
      <c r="M151">
        <v>2020</v>
      </c>
      <c r="N151" t="s">
        <v>1175</v>
      </c>
      <c r="O151">
        <v>9</v>
      </c>
      <c r="P151" t="s">
        <v>1216</v>
      </c>
    </row>
    <row r="152" spans="1:16" x14ac:dyDescent="0.3">
      <c r="A152" t="s">
        <v>66</v>
      </c>
      <c r="B152">
        <v>148359.67999999999</v>
      </c>
      <c r="C152">
        <v>118480.04</v>
      </c>
      <c r="D152" s="1">
        <v>44035</v>
      </c>
      <c r="E152" t="s">
        <v>11</v>
      </c>
      <c r="F152" t="s">
        <v>92</v>
      </c>
      <c r="G152" t="s">
        <v>68</v>
      </c>
      <c r="H152" t="s">
        <v>69</v>
      </c>
      <c r="I152" t="s">
        <v>27</v>
      </c>
      <c r="J152" t="s">
        <v>287</v>
      </c>
      <c r="K152">
        <v>29879.64</v>
      </c>
      <c r="L152">
        <v>0.201400003019688</v>
      </c>
      <c r="M152">
        <v>2020</v>
      </c>
      <c r="N152" t="s">
        <v>1174</v>
      </c>
      <c r="O152">
        <v>7</v>
      </c>
      <c r="P152" t="s">
        <v>1214</v>
      </c>
    </row>
    <row r="153" spans="1:16" x14ac:dyDescent="0.3">
      <c r="A153" t="s">
        <v>10</v>
      </c>
      <c r="B153">
        <v>71119.23</v>
      </c>
      <c r="C153">
        <v>59220.98</v>
      </c>
      <c r="D153" s="1">
        <v>43711</v>
      </c>
      <c r="E153" t="s">
        <v>91</v>
      </c>
      <c r="F153" t="s">
        <v>56</v>
      </c>
      <c r="G153" t="s">
        <v>13</v>
      </c>
      <c r="H153" t="s">
        <v>46</v>
      </c>
      <c r="I153" t="s">
        <v>27</v>
      </c>
      <c r="J153" t="s">
        <v>288</v>
      </c>
      <c r="K153">
        <v>11898.25</v>
      </c>
      <c r="L153">
        <v>0.16730003966578399</v>
      </c>
      <c r="M153">
        <v>2019</v>
      </c>
      <c r="N153" t="s">
        <v>1175</v>
      </c>
      <c r="O153">
        <v>9</v>
      </c>
      <c r="P153" t="s">
        <v>1216</v>
      </c>
    </row>
    <row r="154" spans="1:16" x14ac:dyDescent="0.3">
      <c r="A154" t="s">
        <v>22</v>
      </c>
      <c r="B154">
        <v>141965.10999999999</v>
      </c>
      <c r="C154">
        <v>119193.91</v>
      </c>
      <c r="D154" s="1">
        <v>43726</v>
      </c>
      <c r="E154" t="s">
        <v>76</v>
      </c>
      <c r="F154" t="s">
        <v>77</v>
      </c>
      <c r="G154" t="s">
        <v>25</v>
      </c>
      <c r="H154" t="s">
        <v>63</v>
      </c>
      <c r="I154" t="s">
        <v>27</v>
      </c>
      <c r="J154" t="s">
        <v>289</v>
      </c>
      <c r="K154">
        <v>22771.200000000001</v>
      </c>
      <c r="L154">
        <v>0.16039997433172101</v>
      </c>
      <c r="M154">
        <v>2019</v>
      </c>
      <c r="N154" t="s">
        <v>1175</v>
      </c>
      <c r="O154">
        <v>9</v>
      </c>
      <c r="P154" t="s">
        <v>1216</v>
      </c>
    </row>
    <row r="155" spans="1:16" x14ac:dyDescent="0.3">
      <c r="A155" t="s">
        <v>129</v>
      </c>
      <c r="B155">
        <v>127994.87</v>
      </c>
      <c r="C155">
        <v>105800.56</v>
      </c>
      <c r="D155" s="1">
        <v>43839</v>
      </c>
      <c r="E155" t="s">
        <v>91</v>
      </c>
      <c r="F155" t="s">
        <v>24</v>
      </c>
      <c r="G155" t="s">
        <v>130</v>
      </c>
      <c r="H155" t="s">
        <v>131</v>
      </c>
      <c r="I155" t="s">
        <v>27</v>
      </c>
      <c r="J155" t="s">
        <v>290</v>
      </c>
      <c r="K155">
        <v>22194.31</v>
      </c>
      <c r="L155">
        <v>0.17339999642173201</v>
      </c>
      <c r="M155">
        <v>2020</v>
      </c>
      <c r="N155" t="s">
        <v>1177</v>
      </c>
      <c r="O155">
        <v>1</v>
      </c>
      <c r="P155" t="s">
        <v>1217</v>
      </c>
    </row>
    <row r="156" spans="1:16" x14ac:dyDescent="0.3">
      <c r="A156" t="s">
        <v>22</v>
      </c>
      <c r="B156">
        <v>106325.72</v>
      </c>
      <c r="C156">
        <v>92705.4</v>
      </c>
      <c r="D156" s="1">
        <v>43727</v>
      </c>
      <c r="E156" t="s">
        <v>11</v>
      </c>
      <c r="F156" t="s">
        <v>272</v>
      </c>
      <c r="G156" t="s">
        <v>25</v>
      </c>
      <c r="H156" t="s">
        <v>52</v>
      </c>
      <c r="I156" t="s">
        <v>32</v>
      </c>
      <c r="J156" t="s">
        <v>291</v>
      </c>
      <c r="K156">
        <v>13620.32</v>
      </c>
      <c r="L156">
        <v>0.128099955495246</v>
      </c>
      <c r="M156">
        <v>2019</v>
      </c>
      <c r="N156" t="s">
        <v>1175</v>
      </c>
      <c r="O156">
        <v>9</v>
      </c>
      <c r="P156" t="s">
        <v>1216</v>
      </c>
    </row>
    <row r="157" spans="1:16" x14ac:dyDescent="0.3">
      <c r="A157" t="s">
        <v>10</v>
      </c>
      <c r="B157">
        <v>78679.600000000006</v>
      </c>
      <c r="C157">
        <v>62416.53</v>
      </c>
      <c r="D157" s="1">
        <v>43809</v>
      </c>
      <c r="E157" t="s">
        <v>11</v>
      </c>
      <c r="F157" t="s">
        <v>292</v>
      </c>
      <c r="G157" t="s">
        <v>13</v>
      </c>
      <c r="H157" t="s">
        <v>14</v>
      </c>
      <c r="I157" t="s">
        <v>27</v>
      </c>
      <c r="J157" t="s">
        <v>293</v>
      </c>
      <c r="K157">
        <v>16263.07</v>
      </c>
      <c r="L157">
        <v>0.206699957803548</v>
      </c>
      <c r="M157">
        <v>2019</v>
      </c>
      <c r="N157" t="s">
        <v>1182</v>
      </c>
      <c r="O157">
        <v>12</v>
      </c>
      <c r="P157" t="s">
        <v>1217</v>
      </c>
    </row>
    <row r="158" spans="1:16" x14ac:dyDescent="0.3">
      <c r="A158" t="s">
        <v>122</v>
      </c>
      <c r="B158">
        <v>37073.910000000003</v>
      </c>
      <c r="C158">
        <v>30274.55</v>
      </c>
      <c r="D158" s="1">
        <v>43581</v>
      </c>
      <c r="E158" t="s">
        <v>91</v>
      </c>
      <c r="F158" t="s">
        <v>294</v>
      </c>
      <c r="G158" t="s">
        <v>123</v>
      </c>
      <c r="H158" t="s">
        <v>124</v>
      </c>
      <c r="I158" t="s">
        <v>15</v>
      </c>
      <c r="J158" t="s">
        <v>295</v>
      </c>
      <c r="K158">
        <v>6799.36</v>
      </c>
      <c r="L158">
        <v>0.18340013233025601</v>
      </c>
      <c r="M158">
        <v>2019</v>
      </c>
      <c r="N158" t="s">
        <v>1172</v>
      </c>
      <c r="O158">
        <v>4</v>
      </c>
      <c r="P158" t="s">
        <v>1215</v>
      </c>
    </row>
    <row r="159" spans="1:16" x14ac:dyDescent="0.3">
      <c r="A159" t="s">
        <v>17</v>
      </c>
      <c r="B159">
        <v>108968.67</v>
      </c>
      <c r="C159">
        <v>88395.39</v>
      </c>
      <c r="D159" s="1">
        <v>43755</v>
      </c>
      <c r="E159" t="s">
        <v>91</v>
      </c>
      <c r="F159" t="s">
        <v>56</v>
      </c>
      <c r="G159" t="s">
        <v>19</v>
      </c>
      <c r="H159" t="s">
        <v>157</v>
      </c>
      <c r="I159" t="s">
        <v>27</v>
      </c>
      <c r="J159" t="s">
        <v>296</v>
      </c>
      <c r="K159">
        <v>20573.28</v>
      </c>
      <c r="L159">
        <v>0.188799955069654</v>
      </c>
      <c r="M159">
        <v>2019</v>
      </c>
      <c r="N159" t="s">
        <v>1178</v>
      </c>
      <c r="O159">
        <v>10</v>
      </c>
      <c r="P159" t="s">
        <v>1216</v>
      </c>
    </row>
    <row r="160" spans="1:16" x14ac:dyDescent="0.3">
      <c r="A160" t="s">
        <v>143</v>
      </c>
      <c r="B160">
        <v>174262.11</v>
      </c>
      <c r="C160">
        <v>143278.31</v>
      </c>
      <c r="D160" s="1">
        <v>43589</v>
      </c>
      <c r="E160" t="s">
        <v>11</v>
      </c>
      <c r="F160" t="s">
        <v>106</v>
      </c>
      <c r="G160" t="s">
        <v>145</v>
      </c>
      <c r="H160" t="s">
        <v>146</v>
      </c>
      <c r="I160" t="s">
        <v>27</v>
      </c>
      <c r="J160" t="s">
        <v>297</v>
      </c>
      <c r="K160">
        <v>30983.8</v>
      </c>
      <c r="L160">
        <v>0.17779998187787399</v>
      </c>
      <c r="M160">
        <v>2019</v>
      </c>
      <c r="N160" t="s">
        <v>1173</v>
      </c>
      <c r="O160">
        <v>5</v>
      </c>
      <c r="P160" t="s">
        <v>1215</v>
      </c>
    </row>
    <row r="161" spans="1:16" x14ac:dyDescent="0.3">
      <c r="A161" t="s">
        <v>169</v>
      </c>
      <c r="B161">
        <v>47516.54</v>
      </c>
      <c r="C161">
        <v>38987.32</v>
      </c>
      <c r="D161" s="1">
        <v>44075</v>
      </c>
      <c r="E161" t="s">
        <v>91</v>
      </c>
      <c r="F161" t="s">
        <v>56</v>
      </c>
      <c r="G161" t="s">
        <v>171</v>
      </c>
      <c r="H161" t="s">
        <v>298</v>
      </c>
      <c r="I161" t="s">
        <v>27</v>
      </c>
      <c r="J161" t="s">
        <v>299</v>
      </c>
      <c r="K161">
        <v>8529.2199999999993</v>
      </c>
      <c r="L161">
        <v>0.17950002251847499</v>
      </c>
      <c r="M161">
        <v>2020</v>
      </c>
      <c r="N161" t="s">
        <v>1175</v>
      </c>
      <c r="O161">
        <v>9</v>
      </c>
      <c r="P161" t="s">
        <v>1216</v>
      </c>
    </row>
    <row r="162" spans="1:16" x14ac:dyDescent="0.3">
      <c r="A162" t="s">
        <v>66</v>
      </c>
      <c r="B162">
        <v>61374.06</v>
      </c>
      <c r="C162">
        <v>49099.25</v>
      </c>
      <c r="D162" s="1">
        <v>43881</v>
      </c>
      <c r="E162" t="s">
        <v>11</v>
      </c>
      <c r="F162" t="s">
        <v>300</v>
      </c>
      <c r="G162" t="s">
        <v>68</v>
      </c>
      <c r="H162" t="s">
        <v>69</v>
      </c>
      <c r="I162" t="s">
        <v>27</v>
      </c>
      <c r="J162" t="s">
        <v>301</v>
      </c>
      <c r="K162">
        <v>12274.81</v>
      </c>
      <c r="L162">
        <v>0.19999996741294301</v>
      </c>
      <c r="M162">
        <v>2020</v>
      </c>
      <c r="N162" t="s">
        <v>1181</v>
      </c>
      <c r="O162">
        <v>2</v>
      </c>
      <c r="P162" t="s">
        <v>1217</v>
      </c>
    </row>
    <row r="163" spans="1:16" x14ac:dyDescent="0.3">
      <c r="A163" t="s">
        <v>22</v>
      </c>
      <c r="B163">
        <v>83904.320000000007</v>
      </c>
      <c r="C163">
        <v>69011.3</v>
      </c>
      <c r="D163" s="1">
        <v>44018</v>
      </c>
      <c r="E163" t="s">
        <v>11</v>
      </c>
      <c r="F163" t="s">
        <v>302</v>
      </c>
      <c r="G163" t="s">
        <v>25</v>
      </c>
      <c r="H163" t="s">
        <v>26</v>
      </c>
      <c r="I163" t="s">
        <v>27</v>
      </c>
      <c r="J163" t="s">
        <v>303</v>
      </c>
      <c r="K163">
        <v>14893.02</v>
      </c>
      <c r="L163">
        <v>0.17750003813868001</v>
      </c>
      <c r="M163">
        <v>2020</v>
      </c>
      <c r="N163" t="s">
        <v>1174</v>
      </c>
      <c r="O163">
        <v>7</v>
      </c>
      <c r="P163" t="s">
        <v>1214</v>
      </c>
    </row>
    <row r="164" spans="1:16" x14ac:dyDescent="0.3">
      <c r="A164" t="s">
        <v>22</v>
      </c>
      <c r="B164">
        <v>120152.33</v>
      </c>
      <c r="C164">
        <v>97527.65</v>
      </c>
      <c r="D164" s="1">
        <v>43737</v>
      </c>
      <c r="E164" t="s">
        <v>181</v>
      </c>
      <c r="F164" t="s">
        <v>45</v>
      </c>
      <c r="G164" t="s">
        <v>25</v>
      </c>
      <c r="H164" t="s">
        <v>167</v>
      </c>
      <c r="I164" t="s">
        <v>27</v>
      </c>
      <c r="J164" t="s">
        <v>304</v>
      </c>
      <c r="K164">
        <v>22624.68</v>
      </c>
      <c r="L164">
        <v>0.18829996888116901</v>
      </c>
      <c r="M164">
        <v>2019</v>
      </c>
      <c r="N164" t="s">
        <v>1175</v>
      </c>
      <c r="O164">
        <v>9</v>
      </c>
      <c r="P164" t="s">
        <v>1216</v>
      </c>
    </row>
    <row r="165" spans="1:16" x14ac:dyDescent="0.3">
      <c r="A165" t="s">
        <v>216</v>
      </c>
      <c r="B165">
        <v>60917.85</v>
      </c>
      <c r="C165">
        <v>52736.58</v>
      </c>
      <c r="D165" s="1">
        <v>43513</v>
      </c>
      <c r="E165" t="s">
        <v>51</v>
      </c>
      <c r="F165" t="s">
        <v>195</v>
      </c>
      <c r="G165" t="s">
        <v>217</v>
      </c>
      <c r="H165" t="s">
        <v>218</v>
      </c>
      <c r="I165" t="s">
        <v>27</v>
      </c>
      <c r="J165" t="s">
        <v>305</v>
      </c>
      <c r="K165">
        <v>8181.27</v>
      </c>
      <c r="L165">
        <v>0.13430004506068399</v>
      </c>
      <c r="M165">
        <v>2019</v>
      </c>
      <c r="N165" t="s">
        <v>1181</v>
      </c>
      <c r="O165">
        <v>2</v>
      </c>
      <c r="P165" t="s">
        <v>1217</v>
      </c>
    </row>
    <row r="166" spans="1:16" x14ac:dyDescent="0.3">
      <c r="A166" t="s">
        <v>10</v>
      </c>
      <c r="B166">
        <v>170457.8</v>
      </c>
      <c r="C166">
        <v>142809.54</v>
      </c>
      <c r="D166" s="1">
        <v>44057</v>
      </c>
      <c r="E166" t="s">
        <v>55</v>
      </c>
      <c r="F166" t="s">
        <v>86</v>
      </c>
      <c r="G166" t="s">
        <v>13</v>
      </c>
      <c r="H166" t="s">
        <v>81</v>
      </c>
      <c r="I166" t="s">
        <v>27</v>
      </c>
      <c r="J166" t="s">
        <v>306</v>
      </c>
      <c r="K166">
        <v>27648.26</v>
      </c>
      <c r="L166">
        <v>0.16220002839412501</v>
      </c>
      <c r="M166">
        <v>2020</v>
      </c>
      <c r="N166" t="s">
        <v>1171</v>
      </c>
      <c r="O166">
        <v>8</v>
      </c>
      <c r="P166" t="s">
        <v>1214</v>
      </c>
    </row>
    <row r="167" spans="1:16" x14ac:dyDescent="0.3">
      <c r="A167" t="s">
        <v>151</v>
      </c>
      <c r="B167">
        <v>88684.7</v>
      </c>
      <c r="C167">
        <v>75337.649999999994</v>
      </c>
      <c r="D167" s="1">
        <v>43853</v>
      </c>
      <c r="E167" t="s">
        <v>99</v>
      </c>
      <c r="F167" t="s">
        <v>227</v>
      </c>
      <c r="G167" t="s">
        <v>152</v>
      </c>
      <c r="H167" t="s">
        <v>153</v>
      </c>
      <c r="I167" t="s">
        <v>27</v>
      </c>
      <c r="J167" t="s">
        <v>307</v>
      </c>
      <c r="K167">
        <v>13347.05</v>
      </c>
      <c r="L167">
        <v>0.150500029881141</v>
      </c>
      <c r="M167">
        <v>2020</v>
      </c>
      <c r="N167" t="s">
        <v>1177</v>
      </c>
      <c r="O167">
        <v>1</v>
      </c>
      <c r="P167" t="s">
        <v>1217</v>
      </c>
    </row>
    <row r="168" spans="1:16" x14ac:dyDescent="0.3">
      <c r="A168" t="s">
        <v>143</v>
      </c>
      <c r="B168">
        <v>120012.56</v>
      </c>
      <c r="C168">
        <v>97762.23</v>
      </c>
      <c r="D168" s="1">
        <v>44140</v>
      </c>
      <c r="E168" t="s">
        <v>11</v>
      </c>
      <c r="F168" t="s">
        <v>308</v>
      </c>
      <c r="G168" t="s">
        <v>145</v>
      </c>
      <c r="H168" t="s">
        <v>206</v>
      </c>
      <c r="I168" t="s">
        <v>32</v>
      </c>
      <c r="J168" t="s">
        <v>309</v>
      </c>
      <c r="K168">
        <v>22250.33</v>
      </c>
      <c r="L168">
        <v>0.185400011465467</v>
      </c>
      <c r="M168">
        <v>2020</v>
      </c>
      <c r="N168" t="s">
        <v>1180</v>
      </c>
      <c r="O168">
        <v>11</v>
      </c>
      <c r="P168" t="s">
        <v>1216</v>
      </c>
    </row>
    <row r="169" spans="1:16" x14ac:dyDescent="0.3">
      <c r="A169" t="s">
        <v>17</v>
      </c>
      <c r="B169">
        <v>118027.37</v>
      </c>
      <c r="C169">
        <v>96050.67</v>
      </c>
      <c r="D169" s="1">
        <v>43620</v>
      </c>
      <c r="E169" t="s">
        <v>76</v>
      </c>
      <c r="F169" t="s">
        <v>56</v>
      </c>
      <c r="G169" t="s">
        <v>19</v>
      </c>
      <c r="H169" t="s">
        <v>157</v>
      </c>
      <c r="I169" t="s">
        <v>27</v>
      </c>
      <c r="J169" t="s">
        <v>310</v>
      </c>
      <c r="K169">
        <v>21976.7</v>
      </c>
      <c r="L169">
        <v>0.18620003139949701</v>
      </c>
      <c r="M169">
        <v>2019</v>
      </c>
      <c r="N169" t="s">
        <v>1179</v>
      </c>
      <c r="O169">
        <v>6</v>
      </c>
      <c r="P169" t="s">
        <v>1214</v>
      </c>
    </row>
    <row r="170" spans="1:16" x14ac:dyDescent="0.3">
      <c r="A170" t="s">
        <v>34</v>
      </c>
      <c r="B170">
        <v>141552.4</v>
      </c>
      <c r="C170">
        <v>122994.88</v>
      </c>
      <c r="D170" s="1">
        <v>43725</v>
      </c>
      <c r="E170" t="s">
        <v>76</v>
      </c>
      <c r="F170" t="s">
        <v>92</v>
      </c>
      <c r="G170" t="s">
        <v>36</v>
      </c>
      <c r="H170" t="s">
        <v>104</v>
      </c>
      <c r="I170" t="s">
        <v>27</v>
      </c>
      <c r="J170" t="s">
        <v>311</v>
      </c>
      <c r="K170">
        <v>18557.52</v>
      </c>
      <c r="L170">
        <v>0.13110000254322801</v>
      </c>
      <c r="M170">
        <v>2019</v>
      </c>
      <c r="N170" t="s">
        <v>1175</v>
      </c>
      <c r="O170">
        <v>9</v>
      </c>
      <c r="P170" t="s">
        <v>1216</v>
      </c>
    </row>
    <row r="171" spans="1:16" x14ac:dyDescent="0.3">
      <c r="A171" t="s">
        <v>10</v>
      </c>
      <c r="B171">
        <v>67161.990000000005</v>
      </c>
      <c r="C171">
        <v>55764.6</v>
      </c>
      <c r="D171" s="1">
        <v>43728</v>
      </c>
      <c r="E171" t="s">
        <v>29</v>
      </c>
      <c r="F171" t="s">
        <v>312</v>
      </c>
      <c r="G171" t="s">
        <v>13</v>
      </c>
      <c r="H171" t="s">
        <v>14</v>
      </c>
      <c r="I171" t="s">
        <v>27</v>
      </c>
      <c r="J171" t="s">
        <v>313</v>
      </c>
      <c r="K171">
        <v>11397.39</v>
      </c>
      <c r="L171">
        <v>0.169700004422144</v>
      </c>
      <c r="M171">
        <v>2019</v>
      </c>
      <c r="N171" t="s">
        <v>1175</v>
      </c>
      <c r="O171">
        <v>9</v>
      </c>
      <c r="P171" t="s">
        <v>1216</v>
      </c>
    </row>
    <row r="172" spans="1:16" x14ac:dyDescent="0.3">
      <c r="A172" t="s">
        <v>54</v>
      </c>
      <c r="B172">
        <v>250483.63</v>
      </c>
      <c r="C172">
        <v>217269.5</v>
      </c>
      <c r="D172" s="1">
        <v>43897</v>
      </c>
      <c r="E172" t="s">
        <v>55</v>
      </c>
      <c r="F172" t="s">
        <v>314</v>
      </c>
      <c r="G172" t="s">
        <v>57</v>
      </c>
      <c r="H172" t="s">
        <v>58</v>
      </c>
      <c r="I172" t="s">
        <v>32</v>
      </c>
      <c r="J172" t="s">
        <v>315</v>
      </c>
      <c r="K172">
        <v>33214.129999999997</v>
      </c>
      <c r="L172">
        <v>0.13260000264288699</v>
      </c>
      <c r="M172">
        <v>2020</v>
      </c>
      <c r="N172" t="s">
        <v>1176</v>
      </c>
      <c r="O172">
        <v>3</v>
      </c>
      <c r="P172" t="s">
        <v>1215</v>
      </c>
    </row>
    <row r="173" spans="1:16" x14ac:dyDescent="0.3">
      <c r="A173" t="s">
        <v>17</v>
      </c>
      <c r="B173">
        <v>26103.94</v>
      </c>
      <c r="C173">
        <v>22339.75</v>
      </c>
      <c r="D173" s="1">
        <v>44074</v>
      </c>
      <c r="E173" t="s">
        <v>23</v>
      </c>
      <c r="F173" t="s">
        <v>62</v>
      </c>
      <c r="G173" t="s">
        <v>19</v>
      </c>
      <c r="H173" t="s">
        <v>157</v>
      </c>
      <c r="I173" t="s">
        <v>15</v>
      </c>
      <c r="J173" t="s">
        <v>316</v>
      </c>
      <c r="K173">
        <v>3764.19</v>
      </c>
      <c r="L173">
        <v>0.14420007094714399</v>
      </c>
      <c r="M173">
        <v>2020</v>
      </c>
      <c r="N173" t="s">
        <v>1171</v>
      </c>
      <c r="O173">
        <v>8</v>
      </c>
      <c r="P173" t="s">
        <v>1214</v>
      </c>
    </row>
    <row r="174" spans="1:16" x14ac:dyDescent="0.3">
      <c r="A174" t="s">
        <v>10</v>
      </c>
      <c r="B174">
        <v>98322.98</v>
      </c>
      <c r="C174">
        <v>84872.4</v>
      </c>
      <c r="D174" s="1">
        <v>44084</v>
      </c>
      <c r="E174" t="s">
        <v>40</v>
      </c>
      <c r="F174" t="s">
        <v>106</v>
      </c>
      <c r="G174" t="s">
        <v>13</v>
      </c>
      <c r="H174" t="s">
        <v>14</v>
      </c>
      <c r="I174" t="s">
        <v>27</v>
      </c>
      <c r="J174" t="s">
        <v>317</v>
      </c>
      <c r="K174">
        <v>13450.58</v>
      </c>
      <c r="L174">
        <v>0.13679996273506001</v>
      </c>
      <c r="M174">
        <v>2020</v>
      </c>
      <c r="N174" t="s">
        <v>1175</v>
      </c>
      <c r="O174">
        <v>9</v>
      </c>
      <c r="P174" t="s">
        <v>1216</v>
      </c>
    </row>
    <row r="175" spans="1:16" x14ac:dyDescent="0.3">
      <c r="A175" t="s">
        <v>22</v>
      </c>
      <c r="B175">
        <v>104391.93</v>
      </c>
      <c r="C175">
        <v>86770.57</v>
      </c>
      <c r="D175" s="1">
        <v>43922</v>
      </c>
      <c r="E175" t="s">
        <v>76</v>
      </c>
      <c r="F175" t="s">
        <v>300</v>
      </c>
      <c r="G175" t="s">
        <v>25</v>
      </c>
      <c r="H175" t="s">
        <v>87</v>
      </c>
      <c r="I175" t="s">
        <v>27</v>
      </c>
      <c r="J175" t="s">
        <v>318</v>
      </c>
      <c r="K175">
        <v>17621.36</v>
      </c>
      <c r="L175">
        <v>0.168800021227695</v>
      </c>
      <c r="M175">
        <v>2020</v>
      </c>
      <c r="N175" t="s">
        <v>1172</v>
      </c>
      <c r="O175">
        <v>4</v>
      </c>
      <c r="P175" t="s">
        <v>1215</v>
      </c>
    </row>
    <row r="176" spans="1:16" x14ac:dyDescent="0.3">
      <c r="A176" t="s">
        <v>17</v>
      </c>
      <c r="B176">
        <v>91540.03</v>
      </c>
      <c r="C176">
        <v>74916.36</v>
      </c>
      <c r="D176" s="1">
        <v>43717</v>
      </c>
      <c r="E176" t="s">
        <v>40</v>
      </c>
      <c r="F176" t="s">
        <v>80</v>
      </c>
      <c r="G176" t="s">
        <v>19</v>
      </c>
      <c r="H176" t="s">
        <v>157</v>
      </c>
      <c r="I176" t="s">
        <v>27</v>
      </c>
      <c r="J176" t="s">
        <v>319</v>
      </c>
      <c r="K176">
        <v>16623.669999999998</v>
      </c>
      <c r="L176">
        <v>0.181600006030149</v>
      </c>
      <c r="M176">
        <v>2019</v>
      </c>
      <c r="N176" t="s">
        <v>1175</v>
      </c>
      <c r="O176">
        <v>9</v>
      </c>
      <c r="P176" t="s">
        <v>1216</v>
      </c>
    </row>
    <row r="177" spans="1:16" x14ac:dyDescent="0.3">
      <c r="A177" t="s">
        <v>22</v>
      </c>
      <c r="B177">
        <v>78057.960000000006</v>
      </c>
      <c r="C177">
        <v>67161.070000000007</v>
      </c>
      <c r="D177" s="1">
        <v>44164</v>
      </c>
      <c r="E177" t="s">
        <v>76</v>
      </c>
      <c r="F177" t="s">
        <v>135</v>
      </c>
      <c r="G177" t="s">
        <v>25</v>
      </c>
      <c r="H177" t="s">
        <v>63</v>
      </c>
      <c r="I177" t="s">
        <v>15</v>
      </c>
      <c r="J177" t="s">
        <v>320</v>
      </c>
      <c r="K177">
        <v>10896.89</v>
      </c>
      <c r="L177">
        <v>0.139599984421832</v>
      </c>
      <c r="M177">
        <v>2020</v>
      </c>
      <c r="N177" t="s">
        <v>1180</v>
      </c>
      <c r="O177">
        <v>11</v>
      </c>
      <c r="P177" t="s">
        <v>1216</v>
      </c>
    </row>
    <row r="178" spans="1:16" x14ac:dyDescent="0.3">
      <c r="A178" t="s">
        <v>216</v>
      </c>
      <c r="B178">
        <v>77896.83</v>
      </c>
      <c r="C178">
        <v>62714.74</v>
      </c>
      <c r="D178" s="1">
        <v>43903</v>
      </c>
      <c r="E178" t="s">
        <v>40</v>
      </c>
      <c r="F178" t="s">
        <v>174</v>
      </c>
      <c r="G178" t="s">
        <v>217</v>
      </c>
      <c r="H178" t="s">
        <v>218</v>
      </c>
      <c r="I178" t="s">
        <v>27</v>
      </c>
      <c r="J178" t="s">
        <v>321</v>
      </c>
      <c r="K178">
        <v>15182.09</v>
      </c>
      <c r="L178">
        <v>0.19489997218115299</v>
      </c>
      <c r="M178">
        <v>2020</v>
      </c>
      <c r="N178" t="s">
        <v>1176</v>
      </c>
      <c r="O178">
        <v>3</v>
      </c>
      <c r="P178" t="s">
        <v>1215</v>
      </c>
    </row>
    <row r="179" spans="1:16" x14ac:dyDescent="0.3">
      <c r="A179" t="s">
        <v>22</v>
      </c>
      <c r="B179">
        <v>141796.75</v>
      </c>
      <c r="C179">
        <v>112317.21</v>
      </c>
      <c r="D179" s="1">
        <v>44090</v>
      </c>
      <c r="E179" t="s">
        <v>11</v>
      </c>
      <c r="F179" t="s">
        <v>56</v>
      </c>
      <c r="G179" t="s">
        <v>25</v>
      </c>
      <c r="H179" t="s">
        <v>26</v>
      </c>
      <c r="I179" t="s">
        <v>27</v>
      </c>
      <c r="J179" t="s">
        <v>322</v>
      </c>
      <c r="K179">
        <v>29479.54</v>
      </c>
      <c r="L179">
        <v>0.20789996949859599</v>
      </c>
      <c r="M179">
        <v>2020</v>
      </c>
      <c r="N179" t="s">
        <v>1175</v>
      </c>
      <c r="O179">
        <v>9</v>
      </c>
      <c r="P179" t="s">
        <v>1216</v>
      </c>
    </row>
    <row r="180" spans="1:16" x14ac:dyDescent="0.3">
      <c r="A180" t="s">
        <v>22</v>
      </c>
      <c r="B180">
        <v>201537.12</v>
      </c>
      <c r="C180">
        <v>166127.04999999999</v>
      </c>
      <c r="D180" s="1">
        <v>44110</v>
      </c>
      <c r="E180" t="s">
        <v>181</v>
      </c>
      <c r="F180" t="s">
        <v>48</v>
      </c>
      <c r="G180" t="s">
        <v>25</v>
      </c>
      <c r="H180" t="s">
        <v>87</v>
      </c>
      <c r="I180" t="s">
        <v>27</v>
      </c>
      <c r="J180" t="s">
        <v>323</v>
      </c>
      <c r="K180">
        <v>35410.07</v>
      </c>
      <c r="L180">
        <v>0.17569999015566001</v>
      </c>
      <c r="M180">
        <v>2020</v>
      </c>
      <c r="N180" t="s">
        <v>1178</v>
      </c>
      <c r="O180">
        <v>10</v>
      </c>
      <c r="P180" t="s">
        <v>1216</v>
      </c>
    </row>
    <row r="181" spans="1:16" x14ac:dyDescent="0.3">
      <c r="A181" t="s">
        <v>34</v>
      </c>
      <c r="B181">
        <v>125099.05</v>
      </c>
      <c r="C181">
        <v>108473.39</v>
      </c>
      <c r="D181" s="1">
        <v>43954</v>
      </c>
      <c r="E181" t="s">
        <v>91</v>
      </c>
      <c r="F181" t="s">
        <v>174</v>
      </c>
      <c r="G181" t="s">
        <v>36</v>
      </c>
      <c r="H181" t="s">
        <v>37</v>
      </c>
      <c r="I181" t="s">
        <v>27</v>
      </c>
      <c r="J181" t="s">
        <v>324</v>
      </c>
      <c r="K181">
        <v>16625.66</v>
      </c>
      <c r="L181">
        <v>0.13289997006372201</v>
      </c>
      <c r="M181">
        <v>2020</v>
      </c>
      <c r="N181" t="s">
        <v>1173</v>
      </c>
      <c r="O181">
        <v>5</v>
      </c>
      <c r="P181" t="s">
        <v>1215</v>
      </c>
    </row>
    <row r="182" spans="1:16" x14ac:dyDescent="0.3">
      <c r="A182" t="s">
        <v>66</v>
      </c>
      <c r="B182">
        <v>26490.47</v>
      </c>
      <c r="C182">
        <v>21168.53</v>
      </c>
      <c r="D182" s="1">
        <v>43566</v>
      </c>
      <c r="E182" t="s">
        <v>23</v>
      </c>
      <c r="F182" t="s">
        <v>106</v>
      </c>
      <c r="G182" t="s">
        <v>68</v>
      </c>
      <c r="H182" t="s">
        <v>69</v>
      </c>
      <c r="I182" t="s">
        <v>27</v>
      </c>
      <c r="J182" t="s">
        <v>325</v>
      </c>
      <c r="K182">
        <v>5321.94</v>
      </c>
      <c r="L182">
        <v>0.20090017277911601</v>
      </c>
      <c r="M182">
        <v>2019</v>
      </c>
      <c r="N182" t="s">
        <v>1172</v>
      </c>
      <c r="O182">
        <v>4</v>
      </c>
      <c r="P182" t="s">
        <v>1215</v>
      </c>
    </row>
    <row r="183" spans="1:16" x14ac:dyDescent="0.3">
      <c r="A183" t="s">
        <v>66</v>
      </c>
      <c r="B183">
        <v>160185.99</v>
      </c>
      <c r="C183">
        <v>130487.51</v>
      </c>
      <c r="D183" s="1">
        <v>44101</v>
      </c>
      <c r="E183" t="s">
        <v>55</v>
      </c>
      <c r="F183" t="s">
        <v>109</v>
      </c>
      <c r="G183" t="s">
        <v>68</v>
      </c>
      <c r="H183" t="s">
        <v>69</v>
      </c>
      <c r="I183" t="s">
        <v>27</v>
      </c>
      <c r="J183" t="s">
        <v>326</v>
      </c>
      <c r="K183">
        <v>29698.48</v>
      </c>
      <c r="L183">
        <v>0.185399984105976</v>
      </c>
      <c r="M183">
        <v>2020</v>
      </c>
      <c r="N183" t="s">
        <v>1175</v>
      </c>
      <c r="O183">
        <v>9</v>
      </c>
      <c r="P183" t="s">
        <v>1216</v>
      </c>
    </row>
    <row r="184" spans="1:16" x14ac:dyDescent="0.3">
      <c r="A184" t="s">
        <v>22</v>
      </c>
      <c r="B184">
        <v>87459.79</v>
      </c>
      <c r="C184">
        <v>69967.83</v>
      </c>
      <c r="D184" s="1">
        <v>44151</v>
      </c>
      <c r="E184" t="s">
        <v>76</v>
      </c>
      <c r="F184" t="s">
        <v>164</v>
      </c>
      <c r="G184" t="s">
        <v>25</v>
      </c>
      <c r="H184" t="s">
        <v>87</v>
      </c>
      <c r="I184" t="s">
        <v>32</v>
      </c>
      <c r="J184" t="s">
        <v>327</v>
      </c>
      <c r="K184">
        <v>17491.96</v>
      </c>
      <c r="L184">
        <v>0.20000002286765201</v>
      </c>
      <c r="M184">
        <v>2020</v>
      </c>
      <c r="N184" t="s">
        <v>1180</v>
      </c>
      <c r="O184">
        <v>11</v>
      </c>
      <c r="P184" t="s">
        <v>1216</v>
      </c>
    </row>
    <row r="185" spans="1:16" x14ac:dyDescent="0.3">
      <c r="A185" t="s">
        <v>17</v>
      </c>
      <c r="B185">
        <v>29443.71</v>
      </c>
      <c r="C185">
        <v>23958.35</v>
      </c>
      <c r="D185" s="1">
        <v>44133</v>
      </c>
      <c r="E185" t="s">
        <v>23</v>
      </c>
      <c r="F185" t="s">
        <v>56</v>
      </c>
      <c r="G185" t="s">
        <v>19</v>
      </c>
      <c r="H185" t="s">
        <v>157</v>
      </c>
      <c r="I185" t="s">
        <v>27</v>
      </c>
      <c r="J185" t="s">
        <v>328</v>
      </c>
      <c r="K185">
        <v>5485.36</v>
      </c>
      <c r="L185">
        <v>0.186299892235048</v>
      </c>
      <c r="M185">
        <v>2020</v>
      </c>
      <c r="N185" t="s">
        <v>1178</v>
      </c>
      <c r="O185">
        <v>10</v>
      </c>
      <c r="P185" t="s">
        <v>1216</v>
      </c>
    </row>
    <row r="186" spans="1:16" x14ac:dyDescent="0.3">
      <c r="A186" t="s">
        <v>22</v>
      </c>
      <c r="B186">
        <v>151151.76999999999</v>
      </c>
      <c r="C186">
        <v>124035.14</v>
      </c>
      <c r="D186" s="1">
        <v>43829</v>
      </c>
      <c r="E186" t="s">
        <v>23</v>
      </c>
      <c r="F186" t="s">
        <v>149</v>
      </c>
      <c r="G186" t="s">
        <v>25</v>
      </c>
      <c r="H186" t="s">
        <v>52</v>
      </c>
      <c r="I186" t="s">
        <v>27</v>
      </c>
      <c r="J186" t="s">
        <v>329</v>
      </c>
      <c r="K186">
        <v>27116.63</v>
      </c>
      <c r="L186">
        <v>0.17940001628826399</v>
      </c>
      <c r="M186">
        <v>2019</v>
      </c>
      <c r="N186" t="s">
        <v>1182</v>
      </c>
      <c r="O186">
        <v>12</v>
      </c>
      <c r="P186" t="s">
        <v>1217</v>
      </c>
    </row>
    <row r="187" spans="1:16" x14ac:dyDescent="0.3">
      <c r="A187" t="s">
        <v>17</v>
      </c>
      <c r="B187">
        <v>155044.01999999999</v>
      </c>
      <c r="C187">
        <v>134268.12</v>
      </c>
      <c r="D187" s="1">
        <v>43763</v>
      </c>
      <c r="E187" t="s">
        <v>76</v>
      </c>
      <c r="F187" t="s">
        <v>236</v>
      </c>
      <c r="G187" t="s">
        <v>19</v>
      </c>
      <c r="H187" t="s">
        <v>20</v>
      </c>
      <c r="I187" t="s">
        <v>27</v>
      </c>
      <c r="J187" t="s">
        <v>330</v>
      </c>
      <c r="K187">
        <v>20775.900000000001</v>
      </c>
      <c r="L187">
        <v>0.13400000851371099</v>
      </c>
      <c r="M187">
        <v>2019</v>
      </c>
      <c r="N187" t="s">
        <v>1178</v>
      </c>
      <c r="O187">
        <v>10</v>
      </c>
      <c r="P187" t="s">
        <v>1216</v>
      </c>
    </row>
    <row r="188" spans="1:16" x14ac:dyDescent="0.3">
      <c r="A188" t="s">
        <v>10</v>
      </c>
      <c r="B188">
        <v>57227.99</v>
      </c>
      <c r="C188">
        <v>46331.78</v>
      </c>
      <c r="D188" s="1">
        <v>43552</v>
      </c>
      <c r="E188" t="s">
        <v>23</v>
      </c>
      <c r="F188" t="s">
        <v>56</v>
      </c>
      <c r="G188" t="s">
        <v>13</v>
      </c>
      <c r="H188" t="s">
        <v>46</v>
      </c>
      <c r="I188" t="s">
        <v>27</v>
      </c>
      <c r="J188" t="s">
        <v>331</v>
      </c>
      <c r="K188">
        <v>10896.21</v>
      </c>
      <c r="L188">
        <v>0.190400012301673</v>
      </c>
      <c r="M188">
        <v>2019</v>
      </c>
      <c r="N188" t="s">
        <v>1176</v>
      </c>
      <c r="O188">
        <v>3</v>
      </c>
      <c r="P188" t="s">
        <v>1215</v>
      </c>
    </row>
    <row r="189" spans="1:16" x14ac:dyDescent="0.3">
      <c r="A189" t="s">
        <v>10</v>
      </c>
      <c r="B189">
        <v>249842.77</v>
      </c>
      <c r="C189">
        <v>218737.35</v>
      </c>
      <c r="D189" s="1">
        <v>44081</v>
      </c>
      <c r="E189" t="s">
        <v>91</v>
      </c>
      <c r="F189" t="s">
        <v>106</v>
      </c>
      <c r="G189" t="s">
        <v>13</v>
      </c>
      <c r="H189" t="s">
        <v>46</v>
      </c>
      <c r="I189" t="s">
        <v>27</v>
      </c>
      <c r="J189" t="s">
        <v>332</v>
      </c>
      <c r="K189">
        <v>31105.42</v>
      </c>
      <c r="L189">
        <v>0.124499980527754</v>
      </c>
      <c r="M189">
        <v>2020</v>
      </c>
      <c r="N189" t="s">
        <v>1175</v>
      </c>
      <c r="O189">
        <v>9</v>
      </c>
      <c r="P189" t="s">
        <v>1216</v>
      </c>
    </row>
    <row r="190" spans="1:16" x14ac:dyDescent="0.3">
      <c r="A190" t="s">
        <v>39</v>
      </c>
      <c r="B190">
        <v>109390.57</v>
      </c>
      <c r="C190">
        <v>87414</v>
      </c>
      <c r="D190" s="1">
        <v>44176</v>
      </c>
      <c r="E190" t="s">
        <v>99</v>
      </c>
      <c r="F190" t="s">
        <v>35</v>
      </c>
      <c r="G190" t="s">
        <v>42</v>
      </c>
      <c r="H190" t="s">
        <v>43</v>
      </c>
      <c r="I190" t="s">
        <v>32</v>
      </c>
      <c r="J190" t="s">
        <v>333</v>
      </c>
      <c r="K190">
        <v>21976.57</v>
      </c>
      <c r="L190">
        <v>0.200900041018161</v>
      </c>
      <c r="M190">
        <v>2020</v>
      </c>
      <c r="N190" t="s">
        <v>1182</v>
      </c>
      <c r="O190">
        <v>12</v>
      </c>
      <c r="P190" t="s">
        <v>1217</v>
      </c>
    </row>
    <row r="191" spans="1:16" x14ac:dyDescent="0.3">
      <c r="A191" t="s">
        <v>10</v>
      </c>
      <c r="B191">
        <v>120763.23</v>
      </c>
      <c r="C191">
        <v>96719.27</v>
      </c>
      <c r="D191" s="1">
        <v>43935</v>
      </c>
      <c r="E191" t="s">
        <v>40</v>
      </c>
      <c r="F191" t="s">
        <v>300</v>
      </c>
      <c r="G191" t="s">
        <v>13</v>
      </c>
      <c r="H191" t="s">
        <v>81</v>
      </c>
      <c r="I191" t="s">
        <v>27</v>
      </c>
      <c r="J191" t="s">
        <v>334</v>
      </c>
      <c r="K191">
        <v>24043.96</v>
      </c>
      <c r="L191">
        <v>0.199100007510564</v>
      </c>
      <c r="M191">
        <v>2020</v>
      </c>
      <c r="N191" t="s">
        <v>1172</v>
      </c>
      <c r="O191">
        <v>4</v>
      </c>
      <c r="P191" t="s">
        <v>1215</v>
      </c>
    </row>
    <row r="192" spans="1:16" x14ac:dyDescent="0.3">
      <c r="A192" t="s">
        <v>129</v>
      </c>
      <c r="B192">
        <v>177464.83</v>
      </c>
      <c r="C192">
        <v>142717.22</v>
      </c>
      <c r="D192" s="1">
        <v>43855</v>
      </c>
      <c r="E192" t="s">
        <v>181</v>
      </c>
      <c r="F192" t="s">
        <v>335</v>
      </c>
      <c r="G192" t="s">
        <v>130</v>
      </c>
      <c r="H192" t="s">
        <v>131</v>
      </c>
      <c r="I192" t="s">
        <v>27</v>
      </c>
      <c r="J192" t="s">
        <v>336</v>
      </c>
      <c r="K192">
        <v>34747.61</v>
      </c>
      <c r="L192">
        <v>0.19579997907190999</v>
      </c>
      <c r="M192">
        <v>2020</v>
      </c>
      <c r="N192" t="s">
        <v>1177</v>
      </c>
      <c r="O192">
        <v>1</v>
      </c>
      <c r="P192" t="s">
        <v>1217</v>
      </c>
    </row>
    <row r="193" spans="1:16" x14ac:dyDescent="0.3">
      <c r="A193" t="s">
        <v>10</v>
      </c>
      <c r="B193">
        <v>251587.20000000001</v>
      </c>
      <c r="C193">
        <v>201848.41</v>
      </c>
      <c r="D193" s="1">
        <v>43630</v>
      </c>
      <c r="E193" t="s">
        <v>51</v>
      </c>
      <c r="F193" t="s">
        <v>156</v>
      </c>
      <c r="G193" t="s">
        <v>13</v>
      </c>
      <c r="H193" t="s">
        <v>46</v>
      </c>
      <c r="I193" t="s">
        <v>32</v>
      </c>
      <c r="J193" t="s">
        <v>337</v>
      </c>
      <c r="K193">
        <v>49738.79</v>
      </c>
      <c r="L193">
        <v>0.197700002225868</v>
      </c>
      <c r="M193">
        <v>2019</v>
      </c>
      <c r="N193" t="s">
        <v>1179</v>
      </c>
      <c r="O193">
        <v>6</v>
      </c>
      <c r="P193" t="s">
        <v>1214</v>
      </c>
    </row>
    <row r="194" spans="1:16" x14ac:dyDescent="0.3">
      <c r="A194" t="s">
        <v>216</v>
      </c>
      <c r="B194">
        <v>62567.58</v>
      </c>
      <c r="C194">
        <v>49916.42</v>
      </c>
      <c r="D194" s="1">
        <v>43576</v>
      </c>
      <c r="E194" t="s">
        <v>40</v>
      </c>
      <c r="F194" t="s">
        <v>106</v>
      </c>
      <c r="G194" t="s">
        <v>217</v>
      </c>
      <c r="H194" t="s">
        <v>218</v>
      </c>
      <c r="I194" t="s">
        <v>27</v>
      </c>
      <c r="J194" t="s">
        <v>338</v>
      </c>
      <c r="K194">
        <v>12651.16</v>
      </c>
      <c r="L194">
        <v>0.20219992526481001</v>
      </c>
      <c r="M194">
        <v>2019</v>
      </c>
      <c r="N194" t="s">
        <v>1172</v>
      </c>
      <c r="O194">
        <v>4</v>
      </c>
      <c r="P194" t="s">
        <v>1215</v>
      </c>
    </row>
    <row r="195" spans="1:16" x14ac:dyDescent="0.3">
      <c r="A195" t="s">
        <v>17</v>
      </c>
      <c r="B195">
        <v>234340.31</v>
      </c>
      <c r="C195">
        <v>204438.49</v>
      </c>
      <c r="D195" s="1">
        <v>44178</v>
      </c>
      <c r="E195" t="s">
        <v>40</v>
      </c>
      <c r="F195" t="s">
        <v>106</v>
      </c>
      <c r="G195" t="s">
        <v>19</v>
      </c>
      <c r="H195" t="s">
        <v>49</v>
      </c>
      <c r="I195" t="s">
        <v>27</v>
      </c>
      <c r="J195" t="s">
        <v>339</v>
      </c>
      <c r="K195">
        <v>29901.82</v>
      </c>
      <c r="L195">
        <v>0.12759998482548701</v>
      </c>
      <c r="M195">
        <v>2020</v>
      </c>
      <c r="N195" t="s">
        <v>1182</v>
      </c>
      <c r="O195">
        <v>12</v>
      </c>
      <c r="P195" t="s">
        <v>1217</v>
      </c>
    </row>
    <row r="196" spans="1:16" x14ac:dyDescent="0.3">
      <c r="A196" t="s">
        <v>10</v>
      </c>
      <c r="B196">
        <v>148243.04999999999</v>
      </c>
      <c r="C196">
        <v>120566.07</v>
      </c>
      <c r="D196" s="1">
        <v>44024</v>
      </c>
      <c r="E196" t="s">
        <v>76</v>
      </c>
      <c r="F196" t="s">
        <v>56</v>
      </c>
      <c r="G196" t="s">
        <v>13</v>
      </c>
      <c r="H196" t="s">
        <v>72</v>
      </c>
      <c r="I196" t="s">
        <v>27</v>
      </c>
      <c r="J196" t="s">
        <v>340</v>
      </c>
      <c r="K196">
        <v>27676.98</v>
      </c>
      <c r="L196">
        <v>0.186700017302666</v>
      </c>
      <c r="M196">
        <v>2020</v>
      </c>
      <c r="N196" t="s">
        <v>1174</v>
      </c>
      <c r="O196">
        <v>7</v>
      </c>
      <c r="P196" t="s">
        <v>1214</v>
      </c>
    </row>
    <row r="197" spans="1:16" x14ac:dyDescent="0.3">
      <c r="A197" t="s">
        <v>10</v>
      </c>
      <c r="B197">
        <v>90602.07</v>
      </c>
      <c r="C197">
        <v>71630</v>
      </c>
      <c r="D197" s="1">
        <v>43954</v>
      </c>
      <c r="E197" t="s">
        <v>29</v>
      </c>
      <c r="F197" t="s">
        <v>139</v>
      </c>
      <c r="G197" t="s">
        <v>13</v>
      </c>
      <c r="H197" t="s">
        <v>14</v>
      </c>
      <c r="I197" t="s">
        <v>27</v>
      </c>
      <c r="J197" t="s">
        <v>341</v>
      </c>
      <c r="K197">
        <v>18972.07</v>
      </c>
      <c r="L197">
        <v>0.209399961833102</v>
      </c>
      <c r="M197">
        <v>2020</v>
      </c>
      <c r="N197" t="s">
        <v>1173</v>
      </c>
      <c r="O197">
        <v>5</v>
      </c>
      <c r="P197" t="s">
        <v>1215</v>
      </c>
    </row>
    <row r="198" spans="1:16" x14ac:dyDescent="0.3">
      <c r="A198" t="s">
        <v>10</v>
      </c>
      <c r="B198">
        <v>36181.81</v>
      </c>
      <c r="C198">
        <v>29698.03</v>
      </c>
      <c r="D198" s="1">
        <v>44131</v>
      </c>
      <c r="E198" t="s">
        <v>23</v>
      </c>
      <c r="F198" t="s">
        <v>97</v>
      </c>
      <c r="G198" t="s">
        <v>13</v>
      </c>
      <c r="H198" t="s">
        <v>72</v>
      </c>
      <c r="I198" t="s">
        <v>15</v>
      </c>
      <c r="J198" t="s">
        <v>342</v>
      </c>
      <c r="K198">
        <v>6483.78</v>
      </c>
      <c r="L198">
        <v>0.179199990271355</v>
      </c>
      <c r="M198">
        <v>2020</v>
      </c>
      <c r="N198" t="s">
        <v>1178</v>
      </c>
      <c r="O198">
        <v>10</v>
      </c>
      <c r="P198" t="s">
        <v>1216</v>
      </c>
    </row>
    <row r="199" spans="1:16" x14ac:dyDescent="0.3">
      <c r="A199" t="s">
        <v>10</v>
      </c>
      <c r="B199">
        <v>81262.34</v>
      </c>
      <c r="C199">
        <v>65326.8</v>
      </c>
      <c r="D199" s="1">
        <v>43625</v>
      </c>
      <c r="E199" t="s">
        <v>91</v>
      </c>
      <c r="F199" t="s">
        <v>56</v>
      </c>
      <c r="G199" t="s">
        <v>13</v>
      </c>
      <c r="H199" t="s">
        <v>81</v>
      </c>
      <c r="I199" t="s">
        <v>32</v>
      </c>
      <c r="J199" t="s">
        <v>343</v>
      </c>
      <c r="K199">
        <v>15935.54</v>
      </c>
      <c r="L199">
        <v>0.19609994002141701</v>
      </c>
      <c r="M199">
        <v>2019</v>
      </c>
      <c r="N199" t="s">
        <v>1179</v>
      </c>
      <c r="O199">
        <v>6</v>
      </c>
      <c r="P199" t="s">
        <v>1214</v>
      </c>
    </row>
    <row r="200" spans="1:16" x14ac:dyDescent="0.3">
      <c r="A200" t="s">
        <v>22</v>
      </c>
      <c r="B200">
        <v>121736.23</v>
      </c>
      <c r="C200">
        <v>106214.86</v>
      </c>
      <c r="D200" s="1">
        <v>43987</v>
      </c>
      <c r="E200" t="s">
        <v>55</v>
      </c>
      <c r="F200" t="s">
        <v>109</v>
      </c>
      <c r="G200" t="s">
        <v>25</v>
      </c>
      <c r="H200" t="s">
        <v>167</v>
      </c>
      <c r="I200" t="s">
        <v>27</v>
      </c>
      <c r="J200" t="s">
        <v>344</v>
      </c>
      <c r="K200">
        <v>15521.37</v>
      </c>
      <c r="L200">
        <v>0.127500005544775</v>
      </c>
      <c r="M200">
        <v>2020</v>
      </c>
      <c r="N200" t="s">
        <v>1179</v>
      </c>
      <c r="O200">
        <v>6</v>
      </c>
      <c r="P200" t="s">
        <v>1214</v>
      </c>
    </row>
    <row r="201" spans="1:16" x14ac:dyDescent="0.3">
      <c r="A201" t="s">
        <v>10</v>
      </c>
      <c r="B201">
        <v>131839.16</v>
      </c>
      <c r="C201">
        <v>115372.45</v>
      </c>
      <c r="D201" s="1">
        <v>43948</v>
      </c>
      <c r="E201" t="s">
        <v>91</v>
      </c>
      <c r="F201" t="s">
        <v>211</v>
      </c>
      <c r="G201" t="s">
        <v>13</v>
      </c>
      <c r="H201" t="s">
        <v>72</v>
      </c>
      <c r="I201" t="s">
        <v>27</v>
      </c>
      <c r="J201" t="s">
        <v>345</v>
      </c>
      <c r="K201">
        <v>16466.71</v>
      </c>
      <c r="L201">
        <v>0.12489999177786</v>
      </c>
      <c r="M201">
        <v>2020</v>
      </c>
      <c r="N201" t="s">
        <v>1172</v>
      </c>
      <c r="O201">
        <v>4</v>
      </c>
      <c r="P201" t="s">
        <v>1215</v>
      </c>
    </row>
    <row r="202" spans="1:16" x14ac:dyDescent="0.3">
      <c r="A202" t="s">
        <v>66</v>
      </c>
      <c r="B202">
        <v>47182.43</v>
      </c>
      <c r="C202">
        <v>40576.89</v>
      </c>
      <c r="D202" s="1">
        <v>43882</v>
      </c>
      <c r="E202" t="s">
        <v>51</v>
      </c>
      <c r="F202" t="s">
        <v>30</v>
      </c>
      <c r="G202" t="s">
        <v>68</v>
      </c>
      <c r="H202" t="s">
        <v>69</v>
      </c>
      <c r="I202" t="s">
        <v>27</v>
      </c>
      <c r="J202" t="s">
        <v>346</v>
      </c>
      <c r="K202">
        <v>6605.54</v>
      </c>
      <c r="L202">
        <v>0.13999999576113401</v>
      </c>
      <c r="M202">
        <v>2020</v>
      </c>
      <c r="N202" t="s">
        <v>1181</v>
      </c>
      <c r="O202">
        <v>2</v>
      </c>
      <c r="P202" t="s">
        <v>1217</v>
      </c>
    </row>
    <row r="203" spans="1:16" x14ac:dyDescent="0.3">
      <c r="A203" t="s">
        <v>22</v>
      </c>
      <c r="B203">
        <v>36321.68</v>
      </c>
      <c r="C203">
        <v>31581.7</v>
      </c>
      <c r="D203" s="1">
        <v>44133</v>
      </c>
      <c r="E203" t="s">
        <v>91</v>
      </c>
      <c r="F203" t="s">
        <v>30</v>
      </c>
      <c r="G203" t="s">
        <v>25</v>
      </c>
      <c r="H203" t="s">
        <v>167</v>
      </c>
      <c r="I203" t="s">
        <v>27</v>
      </c>
      <c r="J203" t="s">
        <v>347</v>
      </c>
      <c r="K203">
        <v>4739.9799999999996</v>
      </c>
      <c r="L203">
        <v>0.13050002092414201</v>
      </c>
      <c r="M203">
        <v>2020</v>
      </c>
      <c r="N203" t="s">
        <v>1178</v>
      </c>
      <c r="O203">
        <v>10</v>
      </c>
      <c r="P203" t="s">
        <v>1216</v>
      </c>
    </row>
    <row r="204" spans="1:16" x14ac:dyDescent="0.3">
      <c r="A204" t="s">
        <v>10</v>
      </c>
      <c r="B204">
        <v>82116.31</v>
      </c>
      <c r="C204">
        <v>70652.87</v>
      </c>
      <c r="D204" s="1">
        <v>43981</v>
      </c>
      <c r="E204" t="s">
        <v>76</v>
      </c>
      <c r="F204" t="s">
        <v>109</v>
      </c>
      <c r="G204" t="s">
        <v>13</v>
      </c>
      <c r="H204" t="s">
        <v>110</v>
      </c>
      <c r="I204" t="s">
        <v>15</v>
      </c>
      <c r="J204" t="s">
        <v>348</v>
      </c>
      <c r="K204">
        <v>11463.44</v>
      </c>
      <c r="L204">
        <v>0.139600038043599</v>
      </c>
      <c r="M204">
        <v>2020</v>
      </c>
      <c r="N204" t="s">
        <v>1173</v>
      </c>
      <c r="O204">
        <v>5</v>
      </c>
      <c r="P204" t="s">
        <v>1215</v>
      </c>
    </row>
    <row r="205" spans="1:16" x14ac:dyDescent="0.3">
      <c r="A205" t="s">
        <v>22</v>
      </c>
      <c r="B205">
        <v>77087.839999999997</v>
      </c>
      <c r="C205">
        <v>65894.69</v>
      </c>
      <c r="D205" s="1">
        <v>43968</v>
      </c>
      <c r="E205" t="s">
        <v>99</v>
      </c>
      <c r="F205" t="s">
        <v>149</v>
      </c>
      <c r="G205" t="s">
        <v>25</v>
      </c>
      <c r="H205" t="s">
        <v>52</v>
      </c>
      <c r="I205" t="s">
        <v>27</v>
      </c>
      <c r="J205" t="s">
        <v>349</v>
      </c>
      <c r="K205">
        <v>11193.15</v>
      </c>
      <c r="L205">
        <v>0.14519994333736699</v>
      </c>
      <c r="M205">
        <v>2020</v>
      </c>
      <c r="N205" t="s">
        <v>1173</v>
      </c>
      <c r="O205">
        <v>5</v>
      </c>
      <c r="P205" t="s">
        <v>1215</v>
      </c>
    </row>
    <row r="206" spans="1:16" x14ac:dyDescent="0.3">
      <c r="A206" t="s">
        <v>10</v>
      </c>
      <c r="B206">
        <v>94115.99</v>
      </c>
      <c r="C206">
        <v>75669.259999999995</v>
      </c>
      <c r="D206" s="1">
        <v>43724</v>
      </c>
      <c r="E206" t="s">
        <v>23</v>
      </c>
      <c r="F206" t="s">
        <v>135</v>
      </c>
      <c r="G206" t="s">
        <v>13</v>
      </c>
      <c r="H206" t="s">
        <v>14</v>
      </c>
      <c r="I206" t="s">
        <v>27</v>
      </c>
      <c r="J206" t="s">
        <v>350</v>
      </c>
      <c r="K206">
        <v>18446.73</v>
      </c>
      <c r="L206">
        <v>0.195999957074244</v>
      </c>
      <c r="M206">
        <v>2019</v>
      </c>
      <c r="N206" t="s">
        <v>1175</v>
      </c>
      <c r="O206">
        <v>9</v>
      </c>
      <c r="P206" t="s">
        <v>1216</v>
      </c>
    </row>
    <row r="207" spans="1:16" x14ac:dyDescent="0.3">
      <c r="A207" t="s">
        <v>34</v>
      </c>
      <c r="B207">
        <v>60301.96</v>
      </c>
      <c r="C207">
        <v>48820.47</v>
      </c>
      <c r="D207" s="1">
        <v>43679</v>
      </c>
      <c r="E207" t="s">
        <v>76</v>
      </c>
      <c r="F207" t="s">
        <v>89</v>
      </c>
      <c r="G207" t="s">
        <v>36</v>
      </c>
      <c r="H207" t="s">
        <v>93</v>
      </c>
      <c r="I207" t="s">
        <v>27</v>
      </c>
      <c r="J207" t="s">
        <v>351</v>
      </c>
      <c r="K207">
        <v>11481.49</v>
      </c>
      <c r="L207">
        <v>0.190399947199063</v>
      </c>
      <c r="M207">
        <v>2019</v>
      </c>
      <c r="N207" t="s">
        <v>1171</v>
      </c>
      <c r="O207">
        <v>8</v>
      </c>
      <c r="P207" t="s">
        <v>1214</v>
      </c>
    </row>
    <row r="208" spans="1:16" x14ac:dyDescent="0.3">
      <c r="A208" t="s">
        <v>22</v>
      </c>
      <c r="B208">
        <v>66146.570000000007</v>
      </c>
      <c r="C208">
        <v>56145.21</v>
      </c>
      <c r="D208" s="1">
        <v>44016</v>
      </c>
      <c r="E208" t="s">
        <v>29</v>
      </c>
      <c r="F208" t="s">
        <v>106</v>
      </c>
      <c r="G208" t="s">
        <v>25</v>
      </c>
      <c r="H208" t="s">
        <v>87</v>
      </c>
      <c r="I208" t="s">
        <v>27</v>
      </c>
      <c r="J208" t="s">
        <v>352</v>
      </c>
      <c r="K208">
        <v>10001.36</v>
      </c>
      <c r="L208">
        <v>0.15119997907676799</v>
      </c>
      <c r="M208">
        <v>2020</v>
      </c>
      <c r="N208" t="s">
        <v>1174</v>
      </c>
      <c r="O208">
        <v>7</v>
      </c>
      <c r="P208" t="s">
        <v>1214</v>
      </c>
    </row>
    <row r="209" spans="1:16" x14ac:dyDescent="0.3">
      <c r="A209" t="s">
        <v>22</v>
      </c>
      <c r="B209">
        <v>134120.38</v>
      </c>
      <c r="C209">
        <v>105981.92</v>
      </c>
      <c r="D209" s="1">
        <v>43951</v>
      </c>
      <c r="E209" t="s">
        <v>11</v>
      </c>
      <c r="F209" t="s">
        <v>139</v>
      </c>
      <c r="G209" t="s">
        <v>25</v>
      </c>
      <c r="H209" t="s">
        <v>87</v>
      </c>
      <c r="I209" t="s">
        <v>27</v>
      </c>
      <c r="J209" t="s">
        <v>353</v>
      </c>
      <c r="K209">
        <v>28138.46</v>
      </c>
      <c r="L209">
        <v>0.20980003188180599</v>
      </c>
      <c r="M209">
        <v>2020</v>
      </c>
      <c r="N209" t="s">
        <v>1172</v>
      </c>
      <c r="O209">
        <v>4</v>
      </c>
      <c r="P209" t="s">
        <v>1215</v>
      </c>
    </row>
    <row r="210" spans="1:16" x14ac:dyDescent="0.3">
      <c r="A210" t="s">
        <v>34</v>
      </c>
      <c r="B210">
        <v>137306.45000000001</v>
      </c>
      <c r="C210">
        <v>108732.98</v>
      </c>
      <c r="D210" s="1">
        <v>43930</v>
      </c>
      <c r="E210" t="s">
        <v>91</v>
      </c>
      <c r="F210" t="s">
        <v>335</v>
      </c>
      <c r="G210" t="s">
        <v>36</v>
      </c>
      <c r="H210" t="s">
        <v>104</v>
      </c>
      <c r="I210" t="s">
        <v>27</v>
      </c>
      <c r="J210" t="s">
        <v>354</v>
      </c>
      <c r="K210">
        <v>28573.47</v>
      </c>
      <c r="L210">
        <v>0.20809998364971199</v>
      </c>
      <c r="M210">
        <v>2020</v>
      </c>
      <c r="N210" t="s">
        <v>1172</v>
      </c>
      <c r="O210">
        <v>4</v>
      </c>
      <c r="P210" t="s">
        <v>1215</v>
      </c>
    </row>
    <row r="211" spans="1:16" x14ac:dyDescent="0.3">
      <c r="A211" t="s">
        <v>10</v>
      </c>
      <c r="B211">
        <v>132632.97</v>
      </c>
      <c r="C211">
        <v>112035.07</v>
      </c>
      <c r="D211" s="1">
        <v>43578</v>
      </c>
      <c r="E211" t="s">
        <v>29</v>
      </c>
      <c r="F211" t="s">
        <v>214</v>
      </c>
      <c r="G211" t="s">
        <v>13</v>
      </c>
      <c r="H211" t="s">
        <v>81</v>
      </c>
      <c r="I211" t="s">
        <v>27</v>
      </c>
      <c r="J211" t="s">
        <v>355</v>
      </c>
      <c r="K211">
        <v>20597.900000000001</v>
      </c>
      <c r="L211">
        <v>0.15529999818295601</v>
      </c>
      <c r="M211">
        <v>2019</v>
      </c>
      <c r="N211" t="s">
        <v>1172</v>
      </c>
      <c r="O211">
        <v>4</v>
      </c>
      <c r="P211" t="s">
        <v>1215</v>
      </c>
    </row>
    <row r="212" spans="1:16" x14ac:dyDescent="0.3">
      <c r="A212" t="s">
        <v>216</v>
      </c>
      <c r="B212">
        <v>73981.77</v>
      </c>
      <c r="C212">
        <v>61959.73</v>
      </c>
      <c r="D212" s="1">
        <v>43787</v>
      </c>
      <c r="E212" t="s">
        <v>40</v>
      </c>
      <c r="F212" t="s">
        <v>71</v>
      </c>
      <c r="G212" t="s">
        <v>217</v>
      </c>
      <c r="H212" t="s">
        <v>218</v>
      </c>
      <c r="I212" t="s">
        <v>27</v>
      </c>
      <c r="J212" t="s">
        <v>356</v>
      </c>
      <c r="K212">
        <v>12022.04</v>
      </c>
      <c r="L212">
        <v>0.16250003210250299</v>
      </c>
      <c r="M212">
        <v>2019</v>
      </c>
      <c r="N212" t="s">
        <v>1180</v>
      </c>
      <c r="O212">
        <v>11</v>
      </c>
      <c r="P212" t="s">
        <v>1216</v>
      </c>
    </row>
    <row r="213" spans="1:16" x14ac:dyDescent="0.3">
      <c r="A213" t="s">
        <v>129</v>
      </c>
      <c r="B213">
        <v>93007.22</v>
      </c>
      <c r="C213">
        <v>81837.05</v>
      </c>
      <c r="D213" s="1">
        <v>44085</v>
      </c>
      <c r="E213" t="s">
        <v>181</v>
      </c>
      <c r="F213" t="s">
        <v>211</v>
      </c>
      <c r="G213" t="s">
        <v>130</v>
      </c>
      <c r="H213" t="s">
        <v>159</v>
      </c>
      <c r="I213" t="s">
        <v>27</v>
      </c>
      <c r="J213" t="s">
        <v>357</v>
      </c>
      <c r="K213">
        <v>11170.17</v>
      </c>
      <c r="L213">
        <v>0.12010003094383399</v>
      </c>
      <c r="M213">
        <v>2020</v>
      </c>
      <c r="N213" t="s">
        <v>1175</v>
      </c>
      <c r="O213">
        <v>9</v>
      </c>
      <c r="P213" t="s">
        <v>1216</v>
      </c>
    </row>
    <row r="214" spans="1:16" x14ac:dyDescent="0.3">
      <c r="A214" t="s">
        <v>122</v>
      </c>
      <c r="B214">
        <v>147672.87</v>
      </c>
      <c r="C214">
        <v>129110.39</v>
      </c>
      <c r="D214" s="1">
        <v>43753</v>
      </c>
      <c r="E214" t="s">
        <v>29</v>
      </c>
      <c r="F214" t="s">
        <v>189</v>
      </c>
      <c r="G214" t="s">
        <v>123</v>
      </c>
      <c r="H214" t="s">
        <v>124</v>
      </c>
      <c r="I214" t="s">
        <v>27</v>
      </c>
      <c r="J214" t="s">
        <v>358</v>
      </c>
      <c r="K214">
        <v>18562.48</v>
      </c>
      <c r="L214">
        <v>0.125700001631986</v>
      </c>
      <c r="M214">
        <v>2019</v>
      </c>
      <c r="N214" t="s">
        <v>1178</v>
      </c>
      <c r="O214">
        <v>10</v>
      </c>
      <c r="P214" t="s">
        <v>1216</v>
      </c>
    </row>
    <row r="215" spans="1:16" x14ac:dyDescent="0.3">
      <c r="A215" t="s">
        <v>10</v>
      </c>
      <c r="B215">
        <v>53593.86</v>
      </c>
      <c r="C215">
        <v>45629.81</v>
      </c>
      <c r="D215" s="1">
        <v>44172</v>
      </c>
      <c r="E215" t="s">
        <v>29</v>
      </c>
      <c r="F215" t="s">
        <v>74</v>
      </c>
      <c r="G215" t="s">
        <v>13</v>
      </c>
      <c r="H215" t="s">
        <v>110</v>
      </c>
      <c r="I215" t="s">
        <v>27</v>
      </c>
      <c r="J215" t="s">
        <v>359</v>
      </c>
      <c r="K215">
        <v>7964.05</v>
      </c>
      <c r="L215">
        <v>0.14860004485588499</v>
      </c>
      <c r="M215">
        <v>2020</v>
      </c>
      <c r="N215" t="s">
        <v>1182</v>
      </c>
      <c r="O215">
        <v>12</v>
      </c>
      <c r="P215" t="s">
        <v>1217</v>
      </c>
    </row>
    <row r="216" spans="1:16" x14ac:dyDescent="0.3">
      <c r="A216" t="s">
        <v>10</v>
      </c>
      <c r="B216">
        <v>110092.84</v>
      </c>
      <c r="C216">
        <v>92797.25</v>
      </c>
      <c r="D216" s="1">
        <v>44011</v>
      </c>
      <c r="E216" t="s">
        <v>99</v>
      </c>
      <c r="F216" t="s">
        <v>149</v>
      </c>
      <c r="G216" t="s">
        <v>13</v>
      </c>
      <c r="H216" t="s">
        <v>81</v>
      </c>
      <c r="I216" t="s">
        <v>15</v>
      </c>
      <c r="J216" t="s">
        <v>360</v>
      </c>
      <c r="K216">
        <v>17295.59</v>
      </c>
      <c r="L216">
        <v>0.15710004392656199</v>
      </c>
      <c r="M216">
        <v>2020</v>
      </c>
      <c r="N216" t="s">
        <v>1179</v>
      </c>
      <c r="O216">
        <v>6</v>
      </c>
      <c r="P216" t="s">
        <v>1214</v>
      </c>
    </row>
    <row r="217" spans="1:16" x14ac:dyDescent="0.3">
      <c r="A217" t="s">
        <v>10</v>
      </c>
      <c r="B217">
        <v>174380.2</v>
      </c>
      <c r="C217">
        <v>151518.96</v>
      </c>
      <c r="D217" s="1">
        <v>43497</v>
      </c>
      <c r="E217" t="s">
        <v>23</v>
      </c>
      <c r="F217" t="s">
        <v>244</v>
      </c>
      <c r="G217" t="s">
        <v>13</v>
      </c>
      <c r="H217" t="s">
        <v>14</v>
      </c>
      <c r="I217" t="s">
        <v>27</v>
      </c>
      <c r="J217" t="s">
        <v>361</v>
      </c>
      <c r="K217">
        <v>22861.24</v>
      </c>
      <c r="L217">
        <v>0.13109997580000499</v>
      </c>
      <c r="M217">
        <v>2019</v>
      </c>
      <c r="N217" t="s">
        <v>1181</v>
      </c>
      <c r="O217">
        <v>2</v>
      </c>
      <c r="P217" t="s">
        <v>1217</v>
      </c>
    </row>
    <row r="218" spans="1:16" x14ac:dyDescent="0.3">
      <c r="A218" t="s">
        <v>17</v>
      </c>
      <c r="B218">
        <v>55804.05</v>
      </c>
      <c r="C218">
        <v>46401.07</v>
      </c>
      <c r="D218" s="1">
        <v>43588</v>
      </c>
      <c r="E218" t="s">
        <v>29</v>
      </c>
      <c r="F218" t="s">
        <v>149</v>
      </c>
      <c r="G218" t="s">
        <v>19</v>
      </c>
      <c r="H218" t="s">
        <v>31</v>
      </c>
      <c r="I218" t="s">
        <v>27</v>
      </c>
      <c r="J218" t="s">
        <v>362</v>
      </c>
      <c r="K218">
        <v>9402.98</v>
      </c>
      <c r="L218">
        <v>0.168499956544373</v>
      </c>
      <c r="M218">
        <v>2019</v>
      </c>
      <c r="N218" t="s">
        <v>1173</v>
      </c>
      <c r="O218">
        <v>5</v>
      </c>
      <c r="P218" t="s">
        <v>1215</v>
      </c>
    </row>
    <row r="219" spans="1:16" x14ac:dyDescent="0.3">
      <c r="A219" t="s">
        <v>22</v>
      </c>
      <c r="B219">
        <v>78938.820000000007</v>
      </c>
      <c r="C219">
        <v>65471.86</v>
      </c>
      <c r="D219" s="1">
        <v>43579</v>
      </c>
      <c r="E219" t="s">
        <v>11</v>
      </c>
      <c r="F219" t="s">
        <v>62</v>
      </c>
      <c r="G219" t="s">
        <v>25</v>
      </c>
      <c r="H219" t="s">
        <v>87</v>
      </c>
      <c r="I219" t="s">
        <v>27</v>
      </c>
      <c r="J219" t="s">
        <v>363</v>
      </c>
      <c r="K219">
        <v>13466.96</v>
      </c>
      <c r="L219">
        <v>0.17059996589764101</v>
      </c>
      <c r="M219">
        <v>2019</v>
      </c>
      <c r="N219" t="s">
        <v>1172</v>
      </c>
      <c r="O219">
        <v>4</v>
      </c>
      <c r="P219" t="s">
        <v>1215</v>
      </c>
    </row>
    <row r="220" spans="1:16" x14ac:dyDescent="0.3">
      <c r="A220" t="s">
        <v>10</v>
      </c>
      <c r="B220">
        <v>124593.04</v>
      </c>
      <c r="C220">
        <v>109106.13</v>
      </c>
      <c r="D220" s="1">
        <v>44136</v>
      </c>
      <c r="E220" t="s">
        <v>23</v>
      </c>
      <c r="F220" t="s">
        <v>56</v>
      </c>
      <c r="G220" t="s">
        <v>13</v>
      </c>
      <c r="H220" t="s">
        <v>72</v>
      </c>
      <c r="I220" t="s">
        <v>32</v>
      </c>
      <c r="J220" t="s">
        <v>364</v>
      </c>
      <c r="K220">
        <v>15486.91</v>
      </c>
      <c r="L220">
        <v>0.124299960896692</v>
      </c>
      <c r="M220">
        <v>2020</v>
      </c>
      <c r="N220" t="s">
        <v>1180</v>
      </c>
      <c r="O220">
        <v>11</v>
      </c>
      <c r="P220" t="s">
        <v>1216</v>
      </c>
    </row>
    <row r="221" spans="1:16" x14ac:dyDescent="0.3">
      <c r="A221" t="s">
        <v>10</v>
      </c>
      <c r="B221">
        <v>126682.79</v>
      </c>
      <c r="C221">
        <v>106514.89</v>
      </c>
      <c r="D221" s="1">
        <v>43775</v>
      </c>
      <c r="E221" t="s">
        <v>51</v>
      </c>
      <c r="F221" t="s">
        <v>300</v>
      </c>
      <c r="G221" t="s">
        <v>13</v>
      </c>
      <c r="H221" t="s">
        <v>72</v>
      </c>
      <c r="I221" t="s">
        <v>27</v>
      </c>
      <c r="J221" t="s">
        <v>365</v>
      </c>
      <c r="K221">
        <v>20167.900000000001</v>
      </c>
      <c r="L221">
        <v>0.15919999867385301</v>
      </c>
      <c r="M221">
        <v>2019</v>
      </c>
      <c r="N221" t="s">
        <v>1180</v>
      </c>
      <c r="O221">
        <v>11</v>
      </c>
      <c r="P221" t="s">
        <v>1216</v>
      </c>
    </row>
    <row r="222" spans="1:16" x14ac:dyDescent="0.3">
      <c r="A222" t="s">
        <v>17</v>
      </c>
      <c r="B222">
        <v>86077.83</v>
      </c>
      <c r="C222">
        <v>72288.160000000003</v>
      </c>
      <c r="D222" s="1">
        <v>43535</v>
      </c>
      <c r="E222" t="s">
        <v>23</v>
      </c>
      <c r="F222" t="s">
        <v>56</v>
      </c>
      <c r="G222" t="s">
        <v>19</v>
      </c>
      <c r="H222" t="s">
        <v>20</v>
      </c>
      <c r="I222" t="s">
        <v>27</v>
      </c>
      <c r="J222" t="s">
        <v>366</v>
      </c>
      <c r="K222">
        <v>13789.67</v>
      </c>
      <c r="L222">
        <v>0.16020001898282099</v>
      </c>
      <c r="M222">
        <v>2019</v>
      </c>
      <c r="N222" t="s">
        <v>1176</v>
      </c>
      <c r="O222">
        <v>3</v>
      </c>
      <c r="P222" t="s">
        <v>1215</v>
      </c>
    </row>
    <row r="223" spans="1:16" x14ac:dyDescent="0.3">
      <c r="A223" t="s">
        <v>143</v>
      </c>
      <c r="B223">
        <v>131409.9</v>
      </c>
      <c r="C223">
        <v>115325.33</v>
      </c>
      <c r="D223" s="1">
        <v>44150</v>
      </c>
      <c r="E223" t="s">
        <v>29</v>
      </c>
      <c r="F223" t="s">
        <v>367</v>
      </c>
      <c r="G223" t="s">
        <v>145</v>
      </c>
      <c r="H223" t="s">
        <v>206</v>
      </c>
      <c r="I223" t="s">
        <v>27</v>
      </c>
      <c r="J223" t="s">
        <v>368</v>
      </c>
      <c r="K223">
        <v>16084.57</v>
      </c>
      <c r="L223">
        <v>0.12239998660679299</v>
      </c>
      <c r="M223">
        <v>2020</v>
      </c>
      <c r="N223" t="s">
        <v>1180</v>
      </c>
      <c r="O223">
        <v>11</v>
      </c>
      <c r="P223" t="s">
        <v>1216</v>
      </c>
    </row>
    <row r="224" spans="1:16" x14ac:dyDescent="0.3">
      <c r="A224" t="s">
        <v>17</v>
      </c>
      <c r="B224">
        <v>123562.02</v>
      </c>
      <c r="C224">
        <v>102927.16</v>
      </c>
      <c r="D224" s="1">
        <v>43943</v>
      </c>
      <c r="E224" t="s">
        <v>40</v>
      </c>
      <c r="F224" t="s">
        <v>139</v>
      </c>
      <c r="G224" t="s">
        <v>19</v>
      </c>
      <c r="H224" t="s">
        <v>20</v>
      </c>
      <c r="I224" t="s">
        <v>27</v>
      </c>
      <c r="J224" t="s">
        <v>369</v>
      </c>
      <c r="K224">
        <v>20634.86</v>
      </c>
      <c r="L224">
        <v>0.167000021527651</v>
      </c>
      <c r="M224">
        <v>2020</v>
      </c>
      <c r="N224" t="s">
        <v>1172</v>
      </c>
      <c r="O224">
        <v>4</v>
      </c>
      <c r="P224" t="s">
        <v>1215</v>
      </c>
    </row>
    <row r="225" spans="1:16" x14ac:dyDescent="0.3">
      <c r="A225" t="s">
        <v>216</v>
      </c>
      <c r="B225">
        <v>214983.15</v>
      </c>
      <c r="C225">
        <v>180413.86</v>
      </c>
      <c r="D225" s="1">
        <v>43775</v>
      </c>
      <c r="E225" t="s">
        <v>76</v>
      </c>
      <c r="F225" t="s">
        <v>367</v>
      </c>
      <c r="G225" t="s">
        <v>217</v>
      </c>
      <c r="H225" t="s">
        <v>218</v>
      </c>
      <c r="I225" t="s">
        <v>15</v>
      </c>
      <c r="J225" t="s">
        <v>370</v>
      </c>
      <c r="K225">
        <v>34569.29</v>
      </c>
      <c r="L225">
        <v>0.160799997581206</v>
      </c>
      <c r="M225">
        <v>2019</v>
      </c>
      <c r="N225" t="s">
        <v>1180</v>
      </c>
      <c r="O225">
        <v>11</v>
      </c>
      <c r="P225" t="s">
        <v>1216</v>
      </c>
    </row>
    <row r="226" spans="1:16" x14ac:dyDescent="0.3">
      <c r="A226" t="s">
        <v>129</v>
      </c>
      <c r="B226">
        <v>135629.35999999999</v>
      </c>
      <c r="C226">
        <v>118526.5</v>
      </c>
      <c r="D226" s="1">
        <v>44173</v>
      </c>
      <c r="E226" t="s">
        <v>11</v>
      </c>
      <c r="F226" t="s">
        <v>133</v>
      </c>
      <c r="G226" t="s">
        <v>130</v>
      </c>
      <c r="H226" t="s">
        <v>131</v>
      </c>
      <c r="I226" t="s">
        <v>27</v>
      </c>
      <c r="J226" t="s">
        <v>371</v>
      </c>
      <c r="K226">
        <v>17102.86</v>
      </c>
      <c r="L226">
        <v>0.12609998307151199</v>
      </c>
      <c r="M226">
        <v>2020</v>
      </c>
      <c r="N226" t="s">
        <v>1182</v>
      </c>
      <c r="O226">
        <v>12</v>
      </c>
      <c r="P226" t="s">
        <v>1217</v>
      </c>
    </row>
    <row r="227" spans="1:16" x14ac:dyDescent="0.3">
      <c r="A227" t="s">
        <v>17</v>
      </c>
      <c r="B227">
        <v>38648.720000000001</v>
      </c>
      <c r="C227">
        <v>32368.3</v>
      </c>
      <c r="D227" s="1">
        <v>43933</v>
      </c>
      <c r="E227" t="s">
        <v>76</v>
      </c>
      <c r="F227" t="s">
        <v>227</v>
      </c>
      <c r="G227" t="s">
        <v>19</v>
      </c>
      <c r="H227" t="s">
        <v>31</v>
      </c>
      <c r="I227" t="s">
        <v>15</v>
      </c>
      <c r="J227" t="s">
        <v>372</v>
      </c>
      <c r="K227">
        <v>6280.42</v>
      </c>
      <c r="L227">
        <v>0.16250007762223401</v>
      </c>
      <c r="M227">
        <v>2020</v>
      </c>
      <c r="N227" t="s">
        <v>1172</v>
      </c>
      <c r="O227">
        <v>4</v>
      </c>
      <c r="P227" t="s">
        <v>1215</v>
      </c>
    </row>
    <row r="228" spans="1:16" x14ac:dyDescent="0.3">
      <c r="A228" t="s">
        <v>22</v>
      </c>
      <c r="B228">
        <v>136324.9</v>
      </c>
      <c r="C228">
        <v>110436.8</v>
      </c>
      <c r="D228" s="1">
        <v>43767</v>
      </c>
      <c r="E228" t="s">
        <v>29</v>
      </c>
      <c r="F228" t="s">
        <v>373</v>
      </c>
      <c r="G228" t="s">
        <v>25</v>
      </c>
      <c r="H228" t="s">
        <v>63</v>
      </c>
      <c r="I228" t="s">
        <v>15</v>
      </c>
      <c r="J228" t="s">
        <v>374</v>
      </c>
      <c r="K228">
        <v>25888.1</v>
      </c>
      <c r="L228">
        <v>0.18990001092977099</v>
      </c>
      <c r="M228">
        <v>2019</v>
      </c>
      <c r="N228" t="s">
        <v>1178</v>
      </c>
      <c r="O228">
        <v>10</v>
      </c>
      <c r="P228" t="s">
        <v>1216</v>
      </c>
    </row>
    <row r="229" spans="1:16" x14ac:dyDescent="0.3">
      <c r="A229" t="s">
        <v>10</v>
      </c>
      <c r="B229">
        <v>113586.11</v>
      </c>
      <c r="C229">
        <v>91641.27</v>
      </c>
      <c r="D229" s="1">
        <v>43515</v>
      </c>
      <c r="E229" t="s">
        <v>181</v>
      </c>
      <c r="F229" t="s">
        <v>41</v>
      </c>
      <c r="G229" t="s">
        <v>13</v>
      </c>
      <c r="H229" t="s">
        <v>14</v>
      </c>
      <c r="I229" t="s">
        <v>32</v>
      </c>
      <c r="J229" t="s">
        <v>375</v>
      </c>
      <c r="K229">
        <v>21944.84</v>
      </c>
      <c r="L229">
        <v>0.19320003123621399</v>
      </c>
      <c r="M229">
        <v>2019</v>
      </c>
      <c r="N229" t="s">
        <v>1181</v>
      </c>
      <c r="O229">
        <v>2</v>
      </c>
      <c r="P229" t="s">
        <v>1217</v>
      </c>
    </row>
    <row r="230" spans="1:16" x14ac:dyDescent="0.3">
      <c r="A230" t="s">
        <v>10</v>
      </c>
      <c r="B230">
        <v>67611.539999999994</v>
      </c>
      <c r="C230">
        <v>56191.95</v>
      </c>
      <c r="D230" s="1">
        <v>43768</v>
      </c>
      <c r="E230" t="s">
        <v>40</v>
      </c>
      <c r="F230" t="s">
        <v>80</v>
      </c>
      <c r="G230" t="s">
        <v>13</v>
      </c>
      <c r="H230" t="s">
        <v>110</v>
      </c>
      <c r="I230" t="s">
        <v>27</v>
      </c>
      <c r="J230" t="s">
        <v>376</v>
      </c>
      <c r="K230">
        <v>11419.59</v>
      </c>
      <c r="L230">
        <v>0.16890001322259501</v>
      </c>
      <c r="M230">
        <v>2019</v>
      </c>
      <c r="N230" t="s">
        <v>1178</v>
      </c>
      <c r="O230">
        <v>10</v>
      </c>
      <c r="P230" t="s">
        <v>1216</v>
      </c>
    </row>
    <row r="231" spans="1:16" x14ac:dyDescent="0.3">
      <c r="A231" t="s">
        <v>22</v>
      </c>
      <c r="B231">
        <v>143322.47</v>
      </c>
      <c r="C231">
        <v>114213.68</v>
      </c>
      <c r="D231" s="1">
        <v>43970</v>
      </c>
      <c r="E231" t="s">
        <v>91</v>
      </c>
      <c r="F231" t="s">
        <v>56</v>
      </c>
      <c r="G231" t="s">
        <v>25</v>
      </c>
      <c r="H231" t="s">
        <v>26</v>
      </c>
      <c r="I231" t="s">
        <v>27</v>
      </c>
      <c r="J231" t="s">
        <v>377</v>
      </c>
      <c r="K231">
        <v>29108.79</v>
      </c>
      <c r="L231">
        <v>0.20309997448411299</v>
      </c>
      <c r="M231">
        <v>2020</v>
      </c>
      <c r="N231" t="s">
        <v>1173</v>
      </c>
      <c r="O231">
        <v>5</v>
      </c>
      <c r="P231" t="s">
        <v>1215</v>
      </c>
    </row>
    <row r="232" spans="1:16" x14ac:dyDescent="0.3">
      <c r="A232" t="s">
        <v>10</v>
      </c>
      <c r="B232">
        <v>171748.56</v>
      </c>
      <c r="C232">
        <v>136574.45000000001</v>
      </c>
      <c r="D232" s="1">
        <v>44155</v>
      </c>
      <c r="E232" t="s">
        <v>11</v>
      </c>
      <c r="F232" t="s">
        <v>373</v>
      </c>
      <c r="G232" t="s">
        <v>13</v>
      </c>
      <c r="H232" t="s">
        <v>72</v>
      </c>
      <c r="I232" t="s">
        <v>27</v>
      </c>
      <c r="J232" t="s">
        <v>378</v>
      </c>
      <c r="K232">
        <v>35174.11</v>
      </c>
      <c r="L232">
        <v>0.204800028599949</v>
      </c>
      <c r="M232">
        <v>2020</v>
      </c>
      <c r="N232" t="s">
        <v>1180</v>
      </c>
      <c r="O232">
        <v>11</v>
      </c>
      <c r="P232" t="s">
        <v>1216</v>
      </c>
    </row>
    <row r="233" spans="1:16" x14ac:dyDescent="0.3">
      <c r="A233" t="s">
        <v>17</v>
      </c>
      <c r="B233">
        <v>50516.2</v>
      </c>
      <c r="C233">
        <v>43918.78</v>
      </c>
      <c r="D233" s="1">
        <v>43546</v>
      </c>
      <c r="E233" t="s">
        <v>29</v>
      </c>
      <c r="F233" t="s">
        <v>89</v>
      </c>
      <c r="G233" t="s">
        <v>19</v>
      </c>
      <c r="H233" t="s">
        <v>78</v>
      </c>
      <c r="I233" t="s">
        <v>27</v>
      </c>
      <c r="J233" t="s">
        <v>379</v>
      </c>
      <c r="K233">
        <v>6597.42</v>
      </c>
      <c r="L233">
        <v>0.130600084725296</v>
      </c>
      <c r="M233">
        <v>2019</v>
      </c>
      <c r="N233" t="s">
        <v>1176</v>
      </c>
      <c r="O233">
        <v>3</v>
      </c>
      <c r="P233" t="s">
        <v>1215</v>
      </c>
    </row>
    <row r="234" spans="1:16" x14ac:dyDescent="0.3">
      <c r="A234" t="s">
        <v>22</v>
      </c>
      <c r="B234">
        <v>76856.570000000007</v>
      </c>
      <c r="C234">
        <v>65535.6</v>
      </c>
      <c r="D234" s="1">
        <v>43616</v>
      </c>
      <c r="E234" t="s">
        <v>40</v>
      </c>
      <c r="F234" t="s">
        <v>156</v>
      </c>
      <c r="G234" t="s">
        <v>25</v>
      </c>
      <c r="H234" t="s">
        <v>63</v>
      </c>
      <c r="I234" t="s">
        <v>27</v>
      </c>
      <c r="J234" t="s">
        <v>380</v>
      </c>
      <c r="K234">
        <v>11320.97</v>
      </c>
      <c r="L234">
        <v>0.14729996407594001</v>
      </c>
      <c r="M234">
        <v>2019</v>
      </c>
      <c r="N234" t="s">
        <v>1173</v>
      </c>
      <c r="O234">
        <v>5</v>
      </c>
      <c r="P234" t="s">
        <v>1215</v>
      </c>
    </row>
    <row r="235" spans="1:16" x14ac:dyDescent="0.3">
      <c r="A235" t="s">
        <v>129</v>
      </c>
      <c r="B235">
        <v>125280.28</v>
      </c>
      <c r="C235">
        <v>99372.32</v>
      </c>
      <c r="D235" s="1">
        <v>43756</v>
      </c>
      <c r="E235" t="s">
        <v>76</v>
      </c>
      <c r="F235" t="s">
        <v>45</v>
      </c>
      <c r="G235" t="s">
        <v>130</v>
      </c>
      <c r="H235" t="s">
        <v>159</v>
      </c>
      <c r="I235" t="s">
        <v>27</v>
      </c>
      <c r="J235" t="s">
        <v>381</v>
      </c>
      <c r="K235">
        <v>25907.96</v>
      </c>
      <c r="L235">
        <v>0.20679998480207701</v>
      </c>
      <c r="M235">
        <v>2019</v>
      </c>
      <c r="N235" t="s">
        <v>1178</v>
      </c>
      <c r="O235">
        <v>10</v>
      </c>
      <c r="P235" t="s">
        <v>1216</v>
      </c>
    </row>
    <row r="236" spans="1:16" x14ac:dyDescent="0.3">
      <c r="A236" t="s">
        <v>17</v>
      </c>
      <c r="B236">
        <v>184431.48</v>
      </c>
      <c r="C236">
        <v>153059.69</v>
      </c>
      <c r="D236" s="1">
        <v>43658</v>
      </c>
      <c r="E236" t="s">
        <v>91</v>
      </c>
      <c r="F236" t="s">
        <v>56</v>
      </c>
      <c r="G236" t="s">
        <v>19</v>
      </c>
      <c r="H236" t="s">
        <v>157</v>
      </c>
      <c r="I236" t="s">
        <v>32</v>
      </c>
      <c r="J236" t="s">
        <v>382</v>
      </c>
      <c r="K236">
        <v>31371.79</v>
      </c>
      <c r="L236">
        <v>0.170099974256022</v>
      </c>
      <c r="M236">
        <v>2019</v>
      </c>
      <c r="N236" t="s">
        <v>1174</v>
      </c>
      <c r="O236">
        <v>7</v>
      </c>
      <c r="P236" t="s">
        <v>1214</v>
      </c>
    </row>
    <row r="237" spans="1:16" x14ac:dyDescent="0.3">
      <c r="A237" t="s">
        <v>17</v>
      </c>
      <c r="B237">
        <v>102255.86</v>
      </c>
      <c r="C237">
        <v>83379.429999999993</v>
      </c>
      <c r="D237" s="1">
        <v>44176</v>
      </c>
      <c r="E237" t="s">
        <v>51</v>
      </c>
      <c r="F237" t="s">
        <v>294</v>
      </c>
      <c r="G237" t="s">
        <v>19</v>
      </c>
      <c r="H237" t="s">
        <v>49</v>
      </c>
      <c r="I237" t="s">
        <v>27</v>
      </c>
      <c r="J237" t="s">
        <v>383</v>
      </c>
      <c r="K237">
        <v>18876.43</v>
      </c>
      <c r="L237">
        <v>0.18459998282739001</v>
      </c>
      <c r="M237">
        <v>2020</v>
      </c>
      <c r="N237" t="s">
        <v>1182</v>
      </c>
      <c r="O237">
        <v>12</v>
      </c>
      <c r="P237" t="s">
        <v>1217</v>
      </c>
    </row>
    <row r="238" spans="1:16" x14ac:dyDescent="0.3">
      <c r="A238" t="s">
        <v>17</v>
      </c>
      <c r="B238">
        <v>101318.72</v>
      </c>
      <c r="C238">
        <v>86657.9</v>
      </c>
      <c r="D238" s="1">
        <v>43568</v>
      </c>
      <c r="E238" t="s">
        <v>11</v>
      </c>
      <c r="F238" t="s">
        <v>256</v>
      </c>
      <c r="G238" t="s">
        <v>19</v>
      </c>
      <c r="H238" t="s">
        <v>78</v>
      </c>
      <c r="I238" t="s">
        <v>27</v>
      </c>
      <c r="J238" t="s">
        <v>384</v>
      </c>
      <c r="K238">
        <v>14660.82</v>
      </c>
      <c r="L238">
        <v>0.14470001200173099</v>
      </c>
      <c r="M238">
        <v>2019</v>
      </c>
      <c r="N238" t="s">
        <v>1172</v>
      </c>
      <c r="O238">
        <v>4</v>
      </c>
      <c r="P238" t="s">
        <v>1215</v>
      </c>
    </row>
    <row r="239" spans="1:16" x14ac:dyDescent="0.3">
      <c r="A239" t="s">
        <v>22</v>
      </c>
      <c r="B239">
        <v>83226.45</v>
      </c>
      <c r="C239">
        <v>71699.59</v>
      </c>
      <c r="D239" s="1">
        <v>44157</v>
      </c>
      <c r="E239" t="s">
        <v>76</v>
      </c>
      <c r="F239" t="s">
        <v>135</v>
      </c>
      <c r="G239" t="s">
        <v>25</v>
      </c>
      <c r="H239" t="s">
        <v>26</v>
      </c>
      <c r="I239" t="s">
        <v>27</v>
      </c>
      <c r="J239" t="s">
        <v>385</v>
      </c>
      <c r="K239">
        <v>11526.86</v>
      </c>
      <c r="L239">
        <v>0.138499960048759</v>
      </c>
      <c r="M239">
        <v>2020</v>
      </c>
      <c r="N239" t="s">
        <v>1180</v>
      </c>
      <c r="O239">
        <v>11</v>
      </c>
      <c r="P239" t="s">
        <v>1216</v>
      </c>
    </row>
    <row r="240" spans="1:16" x14ac:dyDescent="0.3">
      <c r="A240" t="s">
        <v>34</v>
      </c>
      <c r="B240">
        <v>129485.51</v>
      </c>
      <c r="C240">
        <v>112794.83</v>
      </c>
      <c r="D240" s="1">
        <v>43586</v>
      </c>
      <c r="E240" t="s">
        <v>23</v>
      </c>
      <c r="F240" t="s">
        <v>211</v>
      </c>
      <c r="G240" t="s">
        <v>36</v>
      </c>
      <c r="H240" t="s">
        <v>93</v>
      </c>
      <c r="I240" t="s">
        <v>27</v>
      </c>
      <c r="J240" t="s">
        <v>386</v>
      </c>
      <c r="K240">
        <v>16690.68</v>
      </c>
      <c r="L240">
        <v>0.12889998270849001</v>
      </c>
      <c r="M240">
        <v>2019</v>
      </c>
      <c r="N240" t="s">
        <v>1173</v>
      </c>
      <c r="O240">
        <v>5</v>
      </c>
      <c r="P240" t="s">
        <v>1215</v>
      </c>
    </row>
    <row r="241" spans="1:16" x14ac:dyDescent="0.3">
      <c r="A241" t="s">
        <v>17</v>
      </c>
      <c r="B241">
        <v>177802.7</v>
      </c>
      <c r="C241">
        <v>155079.51</v>
      </c>
      <c r="D241" s="1">
        <v>43664</v>
      </c>
      <c r="E241" t="s">
        <v>99</v>
      </c>
      <c r="F241" t="s">
        <v>244</v>
      </c>
      <c r="G241" t="s">
        <v>19</v>
      </c>
      <c r="H241" t="s">
        <v>20</v>
      </c>
      <c r="I241" t="s">
        <v>27</v>
      </c>
      <c r="J241" t="s">
        <v>387</v>
      </c>
      <c r="K241">
        <v>22723.19</v>
      </c>
      <c r="L241">
        <v>0.127800027783605</v>
      </c>
      <c r="M241">
        <v>2019</v>
      </c>
      <c r="N241" t="s">
        <v>1174</v>
      </c>
      <c r="O241">
        <v>7</v>
      </c>
      <c r="P241" t="s">
        <v>1214</v>
      </c>
    </row>
    <row r="242" spans="1:16" x14ac:dyDescent="0.3">
      <c r="A242" t="s">
        <v>143</v>
      </c>
      <c r="B242">
        <v>44038.31</v>
      </c>
      <c r="C242">
        <v>36252.339999999997</v>
      </c>
      <c r="D242" s="1">
        <v>43854</v>
      </c>
      <c r="E242" t="s">
        <v>29</v>
      </c>
      <c r="F242" t="s">
        <v>229</v>
      </c>
      <c r="G242" t="s">
        <v>145</v>
      </c>
      <c r="H242" t="s">
        <v>262</v>
      </c>
      <c r="I242" t="s">
        <v>27</v>
      </c>
      <c r="J242" t="s">
        <v>388</v>
      </c>
      <c r="K242">
        <v>7785.97</v>
      </c>
      <c r="L242">
        <v>0.17679992715433401</v>
      </c>
      <c r="M242">
        <v>2020</v>
      </c>
      <c r="N242" t="s">
        <v>1177</v>
      </c>
      <c r="O242">
        <v>1</v>
      </c>
      <c r="P242" t="s">
        <v>1217</v>
      </c>
    </row>
    <row r="243" spans="1:16" x14ac:dyDescent="0.3">
      <c r="A243" t="s">
        <v>22</v>
      </c>
      <c r="B243">
        <v>113781.45</v>
      </c>
      <c r="C243">
        <v>91104.81</v>
      </c>
      <c r="D243" s="1">
        <v>43687</v>
      </c>
      <c r="E243" t="s">
        <v>91</v>
      </c>
      <c r="F243" t="s">
        <v>144</v>
      </c>
      <c r="G243" t="s">
        <v>25</v>
      </c>
      <c r="H243" t="s">
        <v>52</v>
      </c>
      <c r="I243" t="s">
        <v>27</v>
      </c>
      <c r="J243" t="s">
        <v>389</v>
      </c>
      <c r="K243">
        <v>22676.639999999999</v>
      </c>
      <c r="L243">
        <v>0.19929997376549499</v>
      </c>
      <c r="M243">
        <v>2019</v>
      </c>
      <c r="N243" t="s">
        <v>1171</v>
      </c>
      <c r="O243">
        <v>8</v>
      </c>
      <c r="P243" t="s">
        <v>1214</v>
      </c>
    </row>
    <row r="244" spans="1:16" x14ac:dyDescent="0.3">
      <c r="A244" t="s">
        <v>66</v>
      </c>
      <c r="B244">
        <v>312928.71999999997</v>
      </c>
      <c r="C244">
        <v>270401.71000000002</v>
      </c>
      <c r="D244" s="1">
        <v>43811</v>
      </c>
      <c r="E244" t="s">
        <v>76</v>
      </c>
      <c r="F244" t="s">
        <v>97</v>
      </c>
      <c r="G244" t="s">
        <v>68</v>
      </c>
      <c r="H244" t="s">
        <v>69</v>
      </c>
      <c r="I244" t="s">
        <v>15</v>
      </c>
      <c r="J244" t="s">
        <v>390</v>
      </c>
      <c r="K244">
        <v>42527.01</v>
      </c>
      <c r="L244">
        <v>0.13589999025976299</v>
      </c>
      <c r="M244">
        <v>2019</v>
      </c>
      <c r="N244" t="s">
        <v>1182</v>
      </c>
      <c r="O244">
        <v>12</v>
      </c>
      <c r="P244" t="s">
        <v>1217</v>
      </c>
    </row>
    <row r="245" spans="1:16" x14ac:dyDescent="0.3">
      <c r="A245" t="s">
        <v>151</v>
      </c>
      <c r="B245">
        <v>65397.279999999999</v>
      </c>
      <c r="C245">
        <v>53920.06</v>
      </c>
      <c r="D245" s="1">
        <v>43910</v>
      </c>
      <c r="E245" t="s">
        <v>181</v>
      </c>
      <c r="F245" t="s">
        <v>233</v>
      </c>
      <c r="G245" t="s">
        <v>152</v>
      </c>
      <c r="H245" t="s">
        <v>197</v>
      </c>
      <c r="I245" t="s">
        <v>32</v>
      </c>
      <c r="J245" t="s">
        <v>391</v>
      </c>
      <c r="K245">
        <v>11477.22</v>
      </c>
      <c r="L245">
        <v>0.17549995963134901</v>
      </c>
      <c r="M245">
        <v>2020</v>
      </c>
      <c r="N245" t="s">
        <v>1176</v>
      </c>
      <c r="O245">
        <v>3</v>
      </c>
      <c r="P245" t="s">
        <v>1215</v>
      </c>
    </row>
    <row r="246" spans="1:16" x14ac:dyDescent="0.3">
      <c r="A246" t="s">
        <v>17</v>
      </c>
      <c r="B246">
        <v>250488.42</v>
      </c>
      <c r="C246">
        <v>214142.55</v>
      </c>
      <c r="D246" s="1">
        <v>43995</v>
      </c>
      <c r="E246" t="s">
        <v>23</v>
      </c>
      <c r="F246" t="s">
        <v>272</v>
      </c>
      <c r="G246" t="s">
        <v>19</v>
      </c>
      <c r="H246" t="s">
        <v>20</v>
      </c>
      <c r="I246" t="s">
        <v>27</v>
      </c>
      <c r="J246" t="s">
        <v>392</v>
      </c>
      <c r="K246">
        <v>36345.870000000003</v>
      </c>
      <c r="L246">
        <v>0.14510000102998799</v>
      </c>
      <c r="M246">
        <v>2020</v>
      </c>
      <c r="N246" t="s">
        <v>1179</v>
      </c>
      <c r="O246">
        <v>6</v>
      </c>
      <c r="P246" t="s">
        <v>1214</v>
      </c>
    </row>
    <row r="247" spans="1:16" x14ac:dyDescent="0.3">
      <c r="A247" t="s">
        <v>34</v>
      </c>
      <c r="B247">
        <v>111523.01</v>
      </c>
      <c r="C247">
        <v>98017.57</v>
      </c>
      <c r="D247" s="1">
        <v>43864</v>
      </c>
      <c r="E247" t="s">
        <v>181</v>
      </c>
      <c r="F247" t="s">
        <v>80</v>
      </c>
      <c r="G247" t="s">
        <v>36</v>
      </c>
      <c r="H247" t="s">
        <v>104</v>
      </c>
      <c r="I247" t="s">
        <v>27</v>
      </c>
      <c r="J247" t="s">
        <v>393</v>
      </c>
      <c r="K247">
        <v>13505.44</v>
      </c>
      <c r="L247">
        <v>0.121100031285024</v>
      </c>
      <c r="M247">
        <v>2020</v>
      </c>
      <c r="N247" t="s">
        <v>1181</v>
      </c>
      <c r="O247">
        <v>2</v>
      </c>
      <c r="P247" t="s">
        <v>1217</v>
      </c>
    </row>
    <row r="248" spans="1:16" x14ac:dyDescent="0.3">
      <c r="A248" t="s">
        <v>17</v>
      </c>
      <c r="B248">
        <v>271411.92</v>
      </c>
      <c r="C248">
        <v>231514.37</v>
      </c>
      <c r="D248" s="1">
        <v>43720</v>
      </c>
      <c r="E248" t="s">
        <v>40</v>
      </c>
      <c r="F248" t="s">
        <v>106</v>
      </c>
      <c r="G248" t="s">
        <v>19</v>
      </c>
      <c r="H248" t="s">
        <v>20</v>
      </c>
      <c r="I248" t="s">
        <v>15</v>
      </c>
      <c r="J248" t="s">
        <v>394</v>
      </c>
      <c r="K248">
        <v>39897.550000000003</v>
      </c>
      <c r="L248">
        <v>0.14699999174686201</v>
      </c>
      <c r="M248">
        <v>2019</v>
      </c>
      <c r="N248" t="s">
        <v>1175</v>
      </c>
      <c r="O248">
        <v>9</v>
      </c>
      <c r="P248" t="s">
        <v>1216</v>
      </c>
    </row>
    <row r="249" spans="1:16" x14ac:dyDescent="0.3">
      <c r="A249" t="s">
        <v>122</v>
      </c>
      <c r="B249">
        <v>83141.47</v>
      </c>
      <c r="C249">
        <v>72000.509999999995</v>
      </c>
      <c r="D249" s="1">
        <v>43539</v>
      </c>
      <c r="E249" t="s">
        <v>181</v>
      </c>
      <c r="F249" t="s">
        <v>18</v>
      </c>
      <c r="G249" t="s">
        <v>123</v>
      </c>
      <c r="H249" t="s">
        <v>254</v>
      </c>
      <c r="I249" t="s">
        <v>32</v>
      </c>
      <c r="J249" t="s">
        <v>395</v>
      </c>
      <c r="K249">
        <v>11140.96</v>
      </c>
      <c r="L249">
        <v>0.13400003632363</v>
      </c>
      <c r="M249">
        <v>2019</v>
      </c>
      <c r="N249" t="s">
        <v>1176</v>
      </c>
      <c r="O249">
        <v>3</v>
      </c>
      <c r="P249" t="s">
        <v>1215</v>
      </c>
    </row>
    <row r="250" spans="1:16" x14ac:dyDescent="0.3">
      <c r="A250" t="s">
        <v>151</v>
      </c>
      <c r="B250">
        <v>126523.36</v>
      </c>
      <c r="C250">
        <v>106368.19</v>
      </c>
      <c r="D250" s="1">
        <v>43965</v>
      </c>
      <c r="E250" t="s">
        <v>11</v>
      </c>
      <c r="F250" t="s">
        <v>396</v>
      </c>
      <c r="G250" t="s">
        <v>152</v>
      </c>
      <c r="H250" t="s">
        <v>197</v>
      </c>
      <c r="I250" t="s">
        <v>27</v>
      </c>
      <c r="J250" t="s">
        <v>397</v>
      </c>
      <c r="K250">
        <v>20155.169999999998</v>
      </c>
      <c r="L250">
        <v>0.15929999013620899</v>
      </c>
      <c r="M250">
        <v>2020</v>
      </c>
      <c r="N250" t="s">
        <v>1173</v>
      </c>
      <c r="O250">
        <v>5</v>
      </c>
      <c r="P250" t="s">
        <v>1215</v>
      </c>
    </row>
    <row r="251" spans="1:16" x14ac:dyDescent="0.3">
      <c r="A251" t="s">
        <v>22</v>
      </c>
      <c r="B251">
        <v>95410.97</v>
      </c>
      <c r="C251">
        <v>80593.649999999994</v>
      </c>
      <c r="D251" s="1">
        <v>44096</v>
      </c>
      <c r="E251" t="s">
        <v>91</v>
      </c>
      <c r="F251" t="s">
        <v>300</v>
      </c>
      <c r="G251" t="s">
        <v>25</v>
      </c>
      <c r="H251" t="s">
        <v>63</v>
      </c>
      <c r="I251" t="s">
        <v>32</v>
      </c>
      <c r="J251" t="s">
        <v>398</v>
      </c>
      <c r="K251">
        <v>14817.32</v>
      </c>
      <c r="L251">
        <v>0.15529996183877001</v>
      </c>
      <c r="M251">
        <v>2020</v>
      </c>
      <c r="N251" t="s">
        <v>1175</v>
      </c>
      <c r="O251">
        <v>9</v>
      </c>
      <c r="P251" t="s">
        <v>1216</v>
      </c>
    </row>
    <row r="252" spans="1:16" x14ac:dyDescent="0.3">
      <c r="A252" t="s">
        <v>66</v>
      </c>
      <c r="B252">
        <v>136079.62</v>
      </c>
      <c r="C252">
        <v>119178.53</v>
      </c>
      <c r="D252" s="1">
        <v>43706</v>
      </c>
      <c r="E252" t="s">
        <v>11</v>
      </c>
      <c r="F252" t="s">
        <v>236</v>
      </c>
      <c r="G252" t="s">
        <v>68</v>
      </c>
      <c r="H252" t="s">
        <v>69</v>
      </c>
      <c r="I252" t="s">
        <v>27</v>
      </c>
      <c r="J252" t="s">
        <v>399</v>
      </c>
      <c r="K252">
        <v>16901.09</v>
      </c>
      <c r="L252">
        <v>0.124200008788972</v>
      </c>
      <c r="M252">
        <v>2019</v>
      </c>
      <c r="N252" t="s">
        <v>1171</v>
      </c>
      <c r="O252">
        <v>8</v>
      </c>
      <c r="P252" t="s">
        <v>1214</v>
      </c>
    </row>
    <row r="253" spans="1:16" x14ac:dyDescent="0.3">
      <c r="A253" t="s">
        <v>10</v>
      </c>
      <c r="B253">
        <v>25907.52</v>
      </c>
      <c r="C253">
        <v>22454.05</v>
      </c>
      <c r="D253" s="1">
        <v>43515</v>
      </c>
      <c r="E253" t="s">
        <v>91</v>
      </c>
      <c r="F253" t="s">
        <v>400</v>
      </c>
      <c r="G253" t="s">
        <v>13</v>
      </c>
      <c r="H253" t="s">
        <v>46</v>
      </c>
      <c r="I253" t="s">
        <v>27</v>
      </c>
      <c r="J253" t="s">
        <v>401</v>
      </c>
      <c r="K253">
        <v>3453.47</v>
      </c>
      <c r="L253">
        <v>0.13329990674522299</v>
      </c>
      <c r="M253">
        <v>2019</v>
      </c>
      <c r="N253" t="s">
        <v>1181</v>
      </c>
      <c r="O253">
        <v>2</v>
      </c>
      <c r="P253" t="s">
        <v>1217</v>
      </c>
    </row>
    <row r="254" spans="1:16" x14ac:dyDescent="0.3">
      <c r="A254" t="s">
        <v>17</v>
      </c>
      <c r="B254">
        <v>180515.09</v>
      </c>
      <c r="C254">
        <v>148852.74</v>
      </c>
      <c r="D254" s="1">
        <v>43825</v>
      </c>
      <c r="E254" t="s">
        <v>91</v>
      </c>
      <c r="F254" t="s">
        <v>95</v>
      </c>
      <c r="G254" t="s">
        <v>19</v>
      </c>
      <c r="H254" t="s">
        <v>20</v>
      </c>
      <c r="I254" t="s">
        <v>27</v>
      </c>
      <c r="J254" t="s">
        <v>402</v>
      </c>
      <c r="K254">
        <v>31662.35</v>
      </c>
      <c r="L254">
        <v>0.17540001780460601</v>
      </c>
      <c r="M254">
        <v>2019</v>
      </c>
      <c r="N254" t="s">
        <v>1182</v>
      </c>
      <c r="O254">
        <v>12</v>
      </c>
      <c r="P254" t="s">
        <v>1217</v>
      </c>
    </row>
    <row r="255" spans="1:16" x14ac:dyDescent="0.3">
      <c r="A255" t="s">
        <v>129</v>
      </c>
      <c r="B255">
        <v>28538.19</v>
      </c>
      <c r="C255">
        <v>24970.92</v>
      </c>
      <c r="D255" s="1">
        <v>43612</v>
      </c>
      <c r="E255" t="s">
        <v>11</v>
      </c>
      <c r="F255" t="s">
        <v>256</v>
      </c>
      <c r="G255" t="s">
        <v>130</v>
      </c>
      <c r="H255" t="s">
        <v>159</v>
      </c>
      <c r="I255" t="s">
        <v>27</v>
      </c>
      <c r="J255" t="s">
        <v>403</v>
      </c>
      <c r="K255">
        <v>3567.27</v>
      </c>
      <c r="L255">
        <v>0.124999868597132</v>
      </c>
      <c r="M255">
        <v>2019</v>
      </c>
      <c r="N255" t="s">
        <v>1173</v>
      </c>
      <c r="O255">
        <v>5</v>
      </c>
      <c r="P255" t="s">
        <v>1215</v>
      </c>
    </row>
    <row r="256" spans="1:16" x14ac:dyDescent="0.3">
      <c r="A256" t="s">
        <v>10</v>
      </c>
      <c r="B256">
        <v>162142.74</v>
      </c>
      <c r="C256">
        <v>136037.76000000001</v>
      </c>
      <c r="D256" s="1">
        <v>43494</v>
      </c>
      <c r="E256" t="s">
        <v>40</v>
      </c>
      <c r="F256" t="s">
        <v>30</v>
      </c>
      <c r="G256" t="s">
        <v>13</v>
      </c>
      <c r="H256" t="s">
        <v>46</v>
      </c>
      <c r="I256" t="s">
        <v>27</v>
      </c>
      <c r="J256" t="s">
        <v>404</v>
      </c>
      <c r="K256">
        <v>26104.98</v>
      </c>
      <c r="L256">
        <v>0.16099999296915801</v>
      </c>
      <c r="M256">
        <v>2019</v>
      </c>
      <c r="N256" t="s">
        <v>1177</v>
      </c>
      <c r="O256">
        <v>1</v>
      </c>
      <c r="P256" t="s">
        <v>1217</v>
      </c>
    </row>
    <row r="257" spans="1:16" x14ac:dyDescent="0.3">
      <c r="A257" t="s">
        <v>151</v>
      </c>
      <c r="B257">
        <v>37520.089999999997</v>
      </c>
      <c r="C257">
        <v>32781.300000000003</v>
      </c>
      <c r="D257" s="1">
        <v>43978</v>
      </c>
      <c r="E257" t="s">
        <v>40</v>
      </c>
      <c r="F257" t="s">
        <v>80</v>
      </c>
      <c r="G257" t="s">
        <v>152</v>
      </c>
      <c r="H257" t="s">
        <v>197</v>
      </c>
      <c r="I257" t="s">
        <v>32</v>
      </c>
      <c r="J257" t="s">
        <v>405</v>
      </c>
      <c r="K257">
        <v>4738.79</v>
      </c>
      <c r="L257">
        <v>0.12630007017573799</v>
      </c>
      <c r="M257">
        <v>2020</v>
      </c>
      <c r="N257" t="s">
        <v>1173</v>
      </c>
      <c r="O257">
        <v>5</v>
      </c>
      <c r="P257" t="s">
        <v>1215</v>
      </c>
    </row>
    <row r="258" spans="1:16" x14ac:dyDescent="0.3">
      <c r="A258" t="s">
        <v>54</v>
      </c>
      <c r="B258">
        <v>230765.62</v>
      </c>
      <c r="C258">
        <v>195435.4</v>
      </c>
      <c r="D258" s="1">
        <v>43664</v>
      </c>
      <c r="E258" t="s">
        <v>76</v>
      </c>
      <c r="F258" t="s">
        <v>56</v>
      </c>
      <c r="G258" t="s">
        <v>57</v>
      </c>
      <c r="H258" t="s">
        <v>58</v>
      </c>
      <c r="I258" t="s">
        <v>27</v>
      </c>
      <c r="J258" t="s">
        <v>406</v>
      </c>
      <c r="K258">
        <v>35330.22</v>
      </c>
      <c r="L258">
        <v>0.15310001550490901</v>
      </c>
      <c r="M258">
        <v>2019</v>
      </c>
      <c r="N258" t="s">
        <v>1174</v>
      </c>
      <c r="O258">
        <v>7</v>
      </c>
      <c r="P258" t="s">
        <v>1214</v>
      </c>
    </row>
    <row r="259" spans="1:16" x14ac:dyDescent="0.3">
      <c r="A259" t="s">
        <v>17</v>
      </c>
      <c r="B259">
        <v>26713.46</v>
      </c>
      <c r="C259">
        <v>22043.95</v>
      </c>
      <c r="D259" s="1">
        <v>44175</v>
      </c>
      <c r="E259" t="s">
        <v>76</v>
      </c>
      <c r="F259" t="s">
        <v>18</v>
      </c>
      <c r="G259" t="s">
        <v>19</v>
      </c>
      <c r="H259" t="s">
        <v>157</v>
      </c>
      <c r="I259" t="s">
        <v>27</v>
      </c>
      <c r="J259" t="s">
        <v>407</v>
      </c>
      <c r="K259">
        <v>4669.51</v>
      </c>
      <c r="L259">
        <v>0.174799894884452</v>
      </c>
      <c r="M259">
        <v>2020</v>
      </c>
      <c r="N259" t="s">
        <v>1182</v>
      </c>
      <c r="O259">
        <v>12</v>
      </c>
      <c r="P259" t="s">
        <v>1217</v>
      </c>
    </row>
    <row r="260" spans="1:16" x14ac:dyDescent="0.3">
      <c r="A260" t="s">
        <v>22</v>
      </c>
      <c r="B260">
        <v>56763.040000000001</v>
      </c>
      <c r="C260">
        <v>47663.92</v>
      </c>
      <c r="D260" s="1">
        <v>43777</v>
      </c>
      <c r="E260" t="s">
        <v>51</v>
      </c>
      <c r="F260" t="s">
        <v>30</v>
      </c>
      <c r="G260" t="s">
        <v>25</v>
      </c>
      <c r="H260" t="s">
        <v>52</v>
      </c>
      <c r="I260" t="s">
        <v>32</v>
      </c>
      <c r="J260" t="s">
        <v>408</v>
      </c>
      <c r="K260">
        <v>9099.1200000000008</v>
      </c>
      <c r="L260">
        <v>0.16030008258895201</v>
      </c>
      <c r="M260">
        <v>2019</v>
      </c>
      <c r="N260" t="s">
        <v>1180</v>
      </c>
      <c r="O260">
        <v>11</v>
      </c>
      <c r="P260" t="s">
        <v>1216</v>
      </c>
    </row>
    <row r="261" spans="1:16" x14ac:dyDescent="0.3">
      <c r="A261" t="s">
        <v>17</v>
      </c>
      <c r="B261">
        <v>18326.41</v>
      </c>
      <c r="C261">
        <v>15067.97</v>
      </c>
      <c r="D261" s="1">
        <v>43526</v>
      </c>
      <c r="E261" t="s">
        <v>11</v>
      </c>
      <c r="F261" t="s">
        <v>308</v>
      </c>
      <c r="G261" t="s">
        <v>19</v>
      </c>
      <c r="H261" t="s">
        <v>157</v>
      </c>
      <c r="I261" t="s">
        <v>27</v>
      </c>
      <c r="J261" t="s">
        <v>409</v>
      </c>
      <c r="K261">
        <v>3258.44</v>
      </c>
      <c r="L261">
        <v>0.17780023474319301</v>
      </c>
      <c r="M261">
        <v>2019</v>
      </c>
      <c r="N261" t="s">
        <v>1176</v>
      </c>
      <c r="O261">
        <v>3</v>
      </c>
      <c r="P261" t="s">
        <v>1215</v>
      </c>
    </row>
    <row r="262" spans="1:16" x14ac:dyDescent="0.3">
      <c r="A262" t="s">
        <v>22</v>
      </c>
      <c r="B262">
        <v>69871.92</v>
      </c>
      <c r="C262">
        <v>58014.66</v>
      </c>
      <c r="D262" s="1">
        <v>43991</v>
      </c>
      <c r="E262" t="s">
        <v>11</v>
      </c>
      <c r="F262" t="s">
        <v>56</v>
      </c>
      <c r="G262" t="s">
        <v>25</v>
      </c>
      <c r="H262" t="s">
        <v>167</v>
      </c>
      <c r="I262" t="s">
        <v>27</v>
      </c>
      <c r="J262" t="s">
        <v>410</v>
      </c>
      <c r="K262">
        <v>11857.26</v>
      </c>
      <c r="L262">
        <v>0.16969993095939001</v>
      </c>
      <c r="M262">
        <v>2020</v>
      </c>
      <c r="N262" t="s">
        <v>1179</v>
      </c>
      <c r="O262">
        <v>6</v>
      </c>
      <c r="P262" t="s">
        <v>1214</v>
      </c>
    </row>
    <row r="263" spans="1:16" x14ac:dyDescent="0.3">
      <c r="A263" t="s">
        <v>22</v>
      </c>
      <c r="B263">
        <v>106516.4</v>
      </c>
      <c r="C263">
        <v>86928.03</v>
      </c>
      <c r="D263" s="1">
        <v>43545</v>
      </c>
      <c r="E263" t="s">
        <v>40</v>
      </c>
      <c r="F263" t="s">
        <v>302</v>
      </c>
      <c r="G263" t="s">
        <v>25</v>
      </c>
      <c r="H263" t="s">
        <v>167</v>
      </c>
      <c r="I263" t="s">
        <v>27</v>
      </c>
      <c r="J263" t="s">
        <v>411</v>
      </c>
      <c r="K263">
        <v>19588.37</v>
      </c>
      <c r="L263">
        <v>0.18390003792843199</v>
      </c>
      <c r="M263">
        <v>2019</v>
      </c>
      <c r="N263" t="s">
        <v>1176</v>
      </c>
      <c r="O263">
        <v>3</v>
      </c>
      <c r="P263" t="s">
        <v>1215</v>
      </c>
    </row>
    <row r="264" spans="1:16" x14ac:dyDescent="0.3">
      <c r="A264" t="s">
        <v>10</v>
      </c>
      <c r="B264">
        <v>53849.120000000003</v>
      </c>
      <c r="C264">
        <v>47354.92</v>
      </c>
      <c r="D264" s="1">
        <v>43936</v>
      </c>
      <c r="E264" t="s">
        <v>11</v>
      </c>
      <c r="F264" t="s">
        <v>149</v>
      </c>
      <c r="G264" t="s">
        <v>13</v>
      </c>
      <c r="H264" t="s">
        <v>46</v>
      </c>
      <c r="I264" t="s">
        <v>27</v>
      </c>
      <c r="J264" t="s">
        <v>412</v>
      </c>
      <c r="K264">
        <v>6494.2</v>
      </c>
      <c r="L264">
        <v>0.120599928095389</v>
      </c>
      <c r="M264">
        <v>2020</v>
      </c>
      <c r="N264" t="s">
        <v>1172</v>
      </c>
      <c r="O264">
        <v>4</v>
      </c>
      <c r="P264" t="s">
        <v>1215</v>
      </c>
    </row>
    <row r="265" spans="1:16" x14ac:dyDescent="0.3">
      <c r="A265" t="s">
        <v>129</v>
      </c>
      <c r="B265">
        <v>99989.89</v>
      </c>
      <c r="C265">
        <v>81191.789999999994</v>
      </c>
      <c r="D265" s="1">
        <v>43784</v>
      </c>
      <c r="E265" t="s">
        <v>23</v>
      </c>
      <c r="F265" t="s">
        <v>229</v>
      </c>
      <c r="G265" t="s">
        <v>130</v>
      </c>
      <c r="H265" t="s">
        <v>159</v>
      </c>
      <c r="I265" t="s">
        <v>27</v>
      </c>
      <c r="J265" t="s">
        <v>413</v>
      </c>
      <c r="K265">
        <v>18798.099999999999</v>
      </c>
      <c r="L265">
        <v>0.18800000680068801</v>
      </c>
      <c r="M265">
        <v>2019</v>
      </c>
      <c r="N265" t="s">
        <v>1180</v>
      </c>
      <c r="O265">
        <v>11</v>
      </c>
      <c r="P265" t="s">
        <v>1216</v>
      </c>
    </row>
    <row r="266" spans="1:16" x14ac:dyDescent="0.3">
      <c r="A266" t="s">
        <v>17</v>
      </c>
      <c r="B266">
        <v>132760.25</v>
      </c>
      <c r="C266">
        <v>105039.91</v>
      </c>
      <c r="D266" s="1">
        <v>44013</v>
      </c>
      <c r="E266" t="s">
        <v>76</v>
      </c>
      <c r="F266" t="s">
        <v>135</v>
      </c>
      <c r="G266" t="s">
        <v>19</v>
      </c>
      <c r="H266" t="s">
        <v>31</v>
      </c>
      <c r="I266" t="s">
        <v>27</v>
      </c>
      <c r="J266" t="s">
        <v>414</v>
      </c>
      <c r="K266">
        <v>27720.34</v>
      </c>
      <c r="L266">
        <v>0.20879999849352501</v>
      </c>
      <c r="M266">
        <v>2020</v>
      </c>
      <c r="N266" t="s">
        <v>1174</v>
      </c>
      <c r="O266">
        <v>7</v>
      </c>
      <c r="P266" t="s">
        <v>1214</v>
      </c>
    </row>
    <row r="267" spans="1:16" x14ac:dyDescent="0.3">
      <c r="A267" t="s">
        <v>66</v>
      </c>
      <c r="B267">
        <v>120831.28</v>
      </c>
      <c r="C267">
        <v>95746.71</v>
      </c>
      <c r="D267" s="1">
        <v>43973</v>
      </c>
      <c r="E267" t="s">
        <v>181</v>
      </c>
      <c r="F267" t="s">
        <v>415</v>
      </c>
      <c r="G267" t="s">
        <v>68</v>
      </c>
      <c r="H267" t="s">
        <v>69</v>
      </c>
      <c r="I267" t="s">
        <v>27</v>
      </c>
      <c r="J267" t="s">
        <v>416</v>
      </c>
      <c r="K267">
        <v>25084.57</v>
      </c>
      <c r="L267">
        <v>0.207599969147062</v>
      </c>
      <c r="M267">
        <v>2020</v>
      </c>
      <c r="N267" t="s">
        <v>1173</v>
      </c>
      <c r="O267">
        <v>5</v>
      </c>
      <c r="P267" t="s">
        <v>1215</v>
      </c>
    </row>
    <row r="268" spans="1:16" x14ac:dyDescent="0.3">
      <c r="A268" t="s">
        <v>22</v>
      </c>
      <c r="B268">
        <v>80474.78</v>
      </c>
      <c r="C268">
        <v>66568.740000000005</v>
      </c>
      <c r="D268" s="1">
        <v>43607</v>
      </c>
      <c r="E268" t="s">
        <v>40</v>
      </c>
      <c r="F268" t="s">
        <v>400</v>
      </c>
      <c r="G268" t="s">
        <v>25</v>
      </c>
      <c r="H268" t="s">
        <v>63</v>
      </c>
      <c r="I268" t="s">
        <v>27</v>
      </c>
      <c r="J268" t="s">
        <v>417</v>
      </c>
      <c r="K268">
        <v>13906.04</v>
      </c>
      <c r="L268">
        <v>0.172799975346313</v>
      </c>
      <c r="M268">
        <v>2019</v>
      </c>
      <c r="N268" t="s">
        <v>1173</v>
      </c>
      <c r="O268">
        <v>5</v>
      </c>
      <c r="P268" t="s">
        <v>1215</v>
      </c>
    </row>
    <row r="269" spans="1:16" x14ac:dyDescent="0.3">
      <c r="A269" t="s">
        <v>129</v>
      </c>
      <c r="B269">
        <v>222379.49</v>
      </c>
      <c r="C269">
        <v>192869.73</v>
      </c>
      <c r="D269" s="1">
        <v>43745</v>
      </c>
      <c r="E269" t="s">
        <v>76</v>
      </c>
      <c r="F269" t="s">
        <v>41</v>
      </c>
      <c r="G269" t="s">
        <v>130</v>
      </c>
      <c r="H269" t="s">
        <v>131</v>
      </c>
      <c r="I269" t="s">
        <v>32</v>
      </c>
      <c r="J269" t="s">
        <v>418</v>
      </c>
      <c r="K269">
        <v>29509.759999999998</v>
      </c>
      <c r="L269">
        <v>0.13270000754116301</v>
      </c>
      <c r="M269">
        <v>2019</v>
      </c>
      <c r="N269" t="s">
        <v>1178</v>
      </c>
      <c r="O269">
        <v>10</v>
      </c>
      <c r="P269" t="s">
        <v>1216</v>
      </c>
    </row>
    <row r="270" spans="1:16" x14ac:dyDescent="0.3">
      <c r="A270" t="s">
        <v>10</v>
      </c>
      <c r="B270">
        <v>173944.47</v>
      </c>
      <c r="C270">
        <v>139729.59</v>
      </c>
      <c r="D270" s="1">
        <v>44144</v>
      </c>
      <c r="E270" t="s">
        <v>91</v>
      </c>
      <c r="F270" t="s">
        <v>56</v>
      </c>
      <c r="G270" t="s">
        <v>13</v>
      </c>
      <c r="H270" t="s">
        <v>72</v>
      </c>
      <c r="I270" t="s">
        <v>27</v>
      </c>
      <c r="J270" t="s">
        <v>419</v>
      </c>
      <c r="K270">
        <v>34214.879999999997</v>
      </c>
      <c r="L270">
        <v>0.19670001581539201</v>
      </c>
      <c r="M270">
        <v>2020</v>
      </c>
      <c r="N270" t="s">
        <v>1180</v>
      </c>
      <c r="O270">
        <v>11</v>
      </c>
      <c r="P270" t="s">
        <v>1216</v>
      </c>
    </row>
    <row r="271" spans="1:16" x14ac:dyDescent="0.3">
      <c r="A271" t="s">
        <v>143</v>
      </c>
      <c r="B271">
        <v>107359.01</v>
      </c>
      <c r="C271">
        <v>90868.67</v>
      </c>
      <c r="D271" s="1">
        <v>43767</v>
      </c>
      <c r="E271" t="s">
        <v>29</v>
      </c>
      <c r="F271" t="s">
        <v>30</v>
      </c>
      <c r="G271" t="s">
        <v>145</v>
      </c>
      <c r="H271" t="s">
        <v>146</v>
      </c>
      <c r="I271" t="s">
        <v>27</v>
      </c>
      <c r="J271" t="s">
        <v>420</v>
      </c>
      <c r="K271">
        <v>16490.34</v>
      </c>
      <c r="L271">
        <v>0.153599963337963</v>
      </c>
      <c r="M271">
        <v>2019</v>
      </c>
      <c r="N271" t="s">
        <v>1178</v>
      </c>
      <c r="O271">
        <v>10</v>
      </c>
      <c r="P271" t="s">
        <v>1216</v>
      </c>
    </row>
    <row r="272" spans="1:16" x14ac:dyDescent="0.3">
      <c r="A272" t="s">
        <v>17</v>
      </c>
      <c r="B272">
        <v>106730.16</v>
      </c>
      <c r="C272">
        <v>89503.91</v>
      </c>
      <c r="D272" s="1">
        <v>44042</v>
      </c>
      <c r="E272" t="s">
        <v>76</v>
      </c>
      <c r="F272" t="s">
        <v>400</v>
      </c>
      <c r="G272" t="s">
        <v>19</v>
      </c>
      <c r="H272" t="s">
        <v>157</v>
      </c>
      <c r="I272" t="s">
        <v>27</v>
      </c>
      <c r="J272" t="s">
        <v>421</v>
      </c>
      <c r="K272">
        <v>17226.25</v>
      </c>
      <c r="L272">
        <v>0.161400020387864</v>
      </c>
      <c r="M272">
        <v>2020</v>
      </c>
      <c r="N272" t="s">
        <v>1174</v>
      </c>
      <c r="O272">
        <v>7</v>
      </c>
      <c r="P272" t="s">
        <v>1214</v>
      </c>
    </row>
    <row r="273" spans="1:16" x14ac:dyDescent="0.3">
      <c r="A273" t="s">
        <v>17</v>
      </c>
      <c r="B273">
        <v>40544.43</v>
      </c>
      <c r="C273">
        <v>32666.65</v>
      </c>
      <c r="D273" s="1">
        <v>43838</v>
      </c>
      <c r="E273" t="s">
        <v>91</v>
      </c>
      <c r="F273" t="s">
        <v>56</v>
      </c>
      <c r="G273" t="s">
        <v>19</v>
      </c>
      <c r="H273" t="s">
        <v>157</v>
      </c>
      <c r="I273" t="s">
        <v>27</v>
      </c>
      <c r="J273" t="s">
        <v>422</v>
      </c>
      <c r="K273">
        <v>7877.78</v>
      </c>
      <c r="L273">
        <v>0.194299932197838</v>
      </c>
      <c r="M273">
        <v>2020</v>
      </c>
      <c r="N273" t="s">
        <v>1177</v>
      </c>
      <c r="O273">
        <v>1</v>
      </c>
      <c r="P273" t="s">
        <v>1217</v>
      </c>
    </row>
    <row r="274" spans="1:16" x14ac:dyDescent="0.3">
      <c r="A274" t="s">
        <v>10</v>
      </c>
      <c r="B274">
        <v>94911.651899999997</v>
      </c>
      <c r="C274">
        <v>120808.16</v>
      </c>
      <c r="D274" s="1">
        <v>43560</v>
      </c>
      <c r="E274" t="s">
        <v>23</v>
      </c>
      <c r="F274" t="s">
        <v>135</v>
      </c>
      <c r="G274" t="s">
        <v>13</v>
      </c>
      <c r="H274" t="s">
        <v>72</v>
      </c>
      <c r="I274" t="s">
        <v>27</v>
      </c>
      <c r="J274" t="s">
        <v>423</v>
      </c>
      <c r="K274">
        <v>-25896.508099999999</v>
      </c>
      <c r="L274">
        <v>-0.27284856581449901</v>
      </c>
      <c r="M274">
        <v>2019</v>
      </c>
      <c r="N274" t="s">
        <v>1172</v>
      </c>
      <c r="O274">
        <v>4</v>
      </c>
      <c r="P274" t="s">
        <v>1215</v>
      </c>
    </row>
    <row r="275" spans="1:16" x14ac:dyDescent="0.3">
      <c r="A275" t="s">
        <v>17</v>
      </c>
      <c r="B275">
        <v>144204.85999999999</v>
      </c>
      <c r="C275">
        <v>115262.94</v>
      </c>
      <c r="D275" s="1">
        <v>44054</v>
      </c>
      <c r="E275" t="s">
        <v>91</v>
      </c>
      <c r="F275" t="s">
        <v>367</v>
      </c>
      <c r="G275" t="s">
        <v>19</v>
      </c>
      <c r="H275" t="s">
        <v>20</v>
      </c>
      <c r="I275" t="s">
        <v>27</v>
      </c>
      <c r="J275" t="s">
        <v>424</v>
      </c>
      <c r="K275">
        <v>28941.919999999998</v>
      </c>
      <c r="L275">
        <v>0.200700031885194</v>
      </c>
      <c r="M275">
        <v>2020</v>
      </c>
      <c r="N275" t="s">
        <v>1171</v>
      </c>
      <c r="O275">
        <v>8</v>
      </c>
      <c r="P275" t="s">
        <v>1214</v>
      </c>
    </row>
    <row r="276" spans="1:16" x14ac:dyDescent="0.3">
      <c r="A276" t="s">
        <v>17</v>
      </c>
      <c r="B276">
        <v>238659.41</v>
      </c>
      <c r="C276">
        <v>204507.25</v>
      </c>
      <c r="D276" s="1">
        <v>43822</v>
      </c>
      <c r="E276" t="s">
        <v>23</v>
      </c>
      <c r="F276" t="s">
        <v>229</v>
      </c>
      <c r="G276" t="s">
        <v>19</v>
      </c>
      <c r="H276" t="s">
        <v>20</v>
      </c>
      <c r="I276" t="s">
        <v>15</v>
      </c>
      <c r="J276" t="s">
        <v>425</v>
      </c>
      <c r="K276">
        <v>34152.160000000003</v>
      </c>
      <c r="L276">
        <v>0.14309999341739801</v>
      </c>
      <c r="M276">
        <v>2019</v>
      </c>
      <c r="N276" t="s">
        <v>1182</v>
      </c>
      <c r="O276">
        <v>12</v>
      </c>
      <c r="P276" t="s">
        <v>1217</v>
      </c>
    </row>
    <row r="277" spans="1:16" x14ac:dyDescent="0.3">
      <c r="A277" t="s">
        <v>17</v>
      </c>
      <c r="B277">
        <v>16388.900000000001</v>
      </c>
      <c r="C277">
        <v>13430.7</v>
      </c>
      <c r="D277" s="1">
        <v>43905</v>
      </c>
      <c r="E277" t="s">
        <v>29</v>
      </c>
      <c r="F277" t="s">
        <v>236</v>
      </c>
      <c r="G277" t="s">
        <v>19</v>
      </c>
      <c r="H277" t="s">
        <v>31</v>
      </c>
      <c r="I277" t="s">
        <v>27</v>
      </c>
      <c r="J277" t="s">
        <v>426</v>
      </c>
      <c r="K277">
        <v>2958.2</v>
      </c>
      <c r="L277">
        <v>0.180500216610023</v>
      </c>
      <c r="M277">
        <v>2020</v>
      </c>
      <c r="N277" t="s">
        <v>1176</v>
      </c>
      <c r="O277">
        <v>3</v>
      </c>
      <c r="P277" t="s">
        <v>1215</v>
      </c>
    </row>
    <row r="278" spans="1:16" x14ac:dyDescent="0.3">
      <c r="A278" t="s">
        <v>22</v>
      </c>
      <c r="B278">
        <v>55166.78</v>
      </c>
      <c r="C278">
        <v>47443.43</v>
      </c>
      <c r="D278" s="1">
        <v>43934</v>
      </c>
      <c r="E278" t="s">
        <v>91</v>
      </c>
      <c r="F278" t="s">
        <v>335</v>
      </c>
      <c r="G278" t="s">
        <v>25</v>
      </c>
      <c r="H278" t="s">
        <v>63</v>
      </c>
      <c r="I278" t="s">
        <v>27</v>
      </c>
      <c r="J278" t="s">
        <v>427</v>
      </c>
      <c r="K278">
        <v>7723.35</v>
      </c>
      <c r="L278">
        <v>0.140000014501481</v>
      </c>
      <c r="M278">
        <v>2020</v>
      </c>
      <c r="N278" t="s">
        <v>1172</v>
      </c>
      <c r="O278">
        <v>4</v>
      </c>
      <c r="P278" t="s">
        <v>1215</v>
      </c>
    </row>
    <row r="279" spans="1:16" x14ac:dyDescent="0.3">
      <c r="A279" t="s">
        <v>10</v>
      </c>
      <c r="B279">
        <v>46849.71</v>
      </c>
      <c r="C279">
        <v>39630.17</v>
      </c>
      <c r="D279" s="1">
        <v>43703</v>
      </c>
      <c r="E279" t="s">
        <v>76</v>
      </c>
      <c r="F279" t="s">
        <v>227</v>
      </c>
      <c r="G279" t="s">
        <v>13</v>
      </c>
      <c r="H279" t="s">
        <v>81</v>
      </c>
      <c r="I279" t="s">
        <v>27</v>
      </c>
      <c r="J279" t="s">
        <v>428</v>
      </c>
      <c r="K279">
        <v>7219.54</v>
      </c>
      <c r="L279">
        <v>0.15409999336175201</v>
      </c>
      <c r="M279">
        <v>2019</v>
      </c>
      <c r="N279" t="s">
        <v>1171</v>
      </c>
      <c r="O279">
        <v>8</v>
      </c>
      <c r="P279" t="s">
        <v>1214</v>
      </c>
    </row>
    <row r="280" spans="1:16" x14ac:dyDescent="0.3">
      <c r="A280" t="s">
        <v>22</v>
      </c>
      <c r="B280">
        <v>294472.77</v>
      </c>
      <c r="C280">
        <v>255572.92</v>
      </c>
      <c r="D280" s="1">
        <v>43775</v>
      </c>
      <c r="E280" t="s">
        <v>51</v>
      </c>
      <c r="F280" t="s">
        <v>335</v>
      </c>
      <c r="G280" t="s">
        <v>25</v>
      </c>
      <c r="H280" t="s">
        <v>167</v>
      </c>
      <c r="I280" t="s">
        <v>15</v>
      </c>
      <c r="J280" t="s">
        <v>429</v>
      </c>
      <c r="K280">
        <v>38899.85</v>
      </c>
      <c r="L280">
        <v>0.13209999009416001</v>
      </c>
      <c r="M280">
        <v>2019</v>
      </c>
      <c r="N280" t="s">
        <v>1180</v>
      </c>
      <c r="O280">
        <v>11</v>
      </c>
      <c r="P280" t="s">
        <v>1216</v>
      </c>
    </row>
    <row r="281" spans="1:16" x14ac:dyDescent="0.3">
      <c r="A281" t="s">
        <v>17</v>
      </c>
      <c r="B281">
        <v>80294.559999999998</v>
      </c>
      <c r="C281">
        <v>65295.54</v>
      </c>
      <c r="D281" s="1">
        <v>43565</v>
      </c>
      <c r="E281" t="s">
        <v>91</v>
      </c>
      <c r="F281" t="s">
        <v>314</v>
      </c>
      <c r="G281" t="s">
        <v>19</v>
      </c>
      <c r="H281" t="s">
        <v>49</v>
      </c>
      <c r="I281" t="s">
        <v>27</v>
      </c>
      <c r="J281" t="s">
        <v>430</v>
      </c>
      <c r="K281">
        <v>14999.02</v>
      </c>
      <c r="L281">
        <v>0.18679995257462001</v>
      </c>
      <c r="M281">
        <v>2019</v>
      </c>
      <c r="N281" t="s">
        <v>1172</v>
      </c>
      <c r="O281">
        <v>4</v>
      </c>
      <c r="P281" t="s">
        <v>1215</v>
      </c>
    </row>
    <row r="282" spans="1:16" x14ac:dyDescent="0.3">
      <c r="A282" t="s">
        <v>17</v>
      </c>
      <c r="B282">
        <v>56823.17</v>
      </c>
      <c r="C282">
        <v>46583.63</v>
      </c>
      <c r="D282" s="1">
        <v>43820</v>
      </c>
      <c r="E282" t="s">
        <v>76</v>
      </c>
      <c r="F282" t="s">
        <v>149</v>
      </c>
      <c r="G282" t="s">
        <v>19</v>
      </c>
      <c r="H282" t="s">
        <v>157</v>
      </c>
      <c r="I282" t="s">
        <v>32</v>
      </c>
      <c r="J282" t="s">
        <v>431</v>
      </c>
      <c r="K282">
        <v>10239.540000000001</v>
      </c>
      <c r="L282">
        <v>0.180200083874237</v>
      </c>
      <c r="M282">
        <v>2019</v>
      </c>
      <c r="N282" t="s">
        <v>1182</v>
      </c>
      <c r="O282">
        <v>12</v>
      </c>
      <c r="P282" t="s">
        <v>1217</v>
      </c>
    </row>
    <row r="283" spans="1:16" x14ac:dyDescent="0.3">
      <c r="A283" t="s">
        <v>17</v>
      </c>
      <c r="B283">
        <v>72314.73</v>
      </c>
      <c r="C283">
        <v>57309.42</v>
      </c>
      <c r="D283" s="1">
        <v>43704</v>
      </c>
      <c r="E283" t="s">
        <v>23</v>
      </c>
      <c r="F283" t="s">
        <v>56</v>
      </c>
      <c r="G283" t="s">
        <v>19</v>
      </c>
      <c r="H283" t="s">
        <v>157</v>
      </c>
      <c r="I283" t="s">
        <v>27</v>
      </c>
      <c r="J283" t="s">
        <v>432</v>
      </c>
      <c r="K283">
        <v>15005.31</v>
      </c>
      <c r="L283">
        <v>0.20750004874525599</v>
      </c>
      <c r="M283">
        <v>2019</v>
      </c>
      <c r="N283" t="s">
        <v>1171</v>
      </c>
      <c r="O283">
        <v>8</v>
      </c>
      <c r="P283" t="s">
        <v>1214</v>
      </c>
    </row>
    <row r="284" spans="1:16" x14ac:dyDescent="0.3">
      <c r="A284" t="s">
        <v>54</v>
      </c>
      <c r="B284">
        <v>241782.39</v>
      </c>
      <c r="C284">
        <v>196544.91</v>
      </c>
      <c r="D284" s="1">
        <v>44080</v>
      </c>
      <c r="E284" t="s">
        <v>23</v>
      </c>
      <c r="F284" t="s">
        <v>56</v>
      </c>
      <c r="G284" t="s">
        <v>57</v>
      </c>
      <c r="H284" t="s">
        <v>58</v>
      </c>
      <c r="I284" t="s">
        <v>27</v>
      </c>
      <c r="J284" t="s">
        <v>433</v>
      </c>
      <c r="K284">
        <v>45237.48</v>
      </c>
      <c r="L284">
        <v>0.18709997862127201</v>
      </c>
      <c r="M284">
        <v>2020</v>
      </c>
      <c r="N284" t="s">
        <v>1175</v>
      </c>
      <c r="O284">
        <v>9</v>
      </c>
      <c r="P284" t="s">
        <v>1216</v>
      </c>
    </row>
    <row r="285" spans="1:16" x14ac:dyDescent="0.3">
      <c r="A285" t="s">
        <v>10</v>
      </c>
      <c r="B285">
        <v>152522.94</v>
      </c>
      <c r="C285">
        <v>122399.66</v>
      </c>
      <c r="D285" s="1">
        <v>44139</v>
      </c>
      <c r="E285" t="s">
        <v>181</v>
      </c>
      <c r="F285" t="s">
        <v>434</v>
      </c>
      <c r="G285" t="s">
        <v>13</v>
      </c>
      <c r="H285" t="s">
        <v>72</v>
      </c>
      <c r="I285" t="s">
        <v>27</v>
      </c>
      <c r="J285" t="s">
        <v>435</v>
      </c>
      <c r="K285">
        <v>30123.279999999999</v>
      </c>
      <c r="L285">
        <v>0.19749999573834601</v>
      </c>
      <c r="M285">
        <v>2020</v>
      </c>
      <c r="N285" t="s">
        <v>1180</v>
      </c>
      <c r="O285">
        <v>11</v>
      </c>
      <c r="P285" t="s">
        <v>1216</v>
      </c>
    </row>
    <row r="286" spans="1:16" x14ac:dyDescent="0.3">
      <c r="A286" t="s">
        <v>22</v>
      </c>
      <c r="B286">
        <v>98521.87</v>
      </c>
      <c r="C286">
        <v>84571.17</v>
      </c>
      <c r="D286" s="1">
        <v>43862</v>
      </c>
      <c r="E286" t="s">
        <v>40</v>
      </c>
      <c r="F286" t="s">
        <v>56</v>
      </c>
      <c r="G286" t="s">
        <v>25</v>
      </c>
      <c r="H286" t="s">
        <v>87</v>
      </c>
      <c r="I286" t="s">
        <v>27</v>
      </c>
      <c r="J286" t="s">
        <v>436</v>
      </c>
      <c r="K286">
        <v>13950.7</v>
      </c>
      <c r="L286">
        <v>0.14160003256129799</v>
      </c>
      <c r="M286">
        <v>2020</v>
      </c>
      <c r="N286" t="s">
        <v>1181</v>
      </c>
      <c r="O286">
        <v>2</v>
      </c>
      <c r="P286" t="s">
        <v>1217</v>
      </c>
    </row>
    <row r="287" spans="1:16" x14ac:dyDescent="0.3">
      <c r="A287" t="s">
        <v>66</v>
      </c>
      <c r="B287">
        <v>108920.56</v>
      </c>
      <c r="C287">
        <v>94270.74</v>
      </c>
      <c r="D287" s="1">
        <v>43684</v>
      </c>
      <c r="E287" t="s">
        <v>91</v>
      </c>
      <c r="F287" t="s">
        <v>135</v>
      </c>
      <c r="G287" t="s">
        <v>68</v>
      </c>
      <c r="H287" t="s">
        <v>69</v>
      </c>
      <c r="I287" t="s">
        <v>27</v>
      </c>
      <c r="J287" t="s">
        <v>437</v>
      </c>
      <c r="K287">
        <v>14649.82</v>
      </c>
      <c r="L287">
        <v>0.134500042967095</v>
      </c>
      <c r="M287">
        <v>2019</v>
      </c>
      <c r="N287" t="s">
        <v>1171</v>
      </c>
      <c r="O287">
        <v>8</v>
      </c>
      <c r="P287" t="s">
        <v>1214</v>
      </c>
    </row>
    <row r="288" spans="1:16" x14ac:dyDescent="0.3">
      <c r="A288" t="s">
        <v>66</v>
      </c>
      <c r="B288">
        <v>74732.789999999994</v>
      </c>
      <c r="C288">
        <v>64098.31</v>
      </c>
      <c r="D288" s="1">
        <v>43885</v>
      </c>
      <c r="E288" t="s">
        <v>76</v>
      </c>
      <c r="F288" t="s">
        <v>367</v>
      </c>
      <c r="G288" t="s">
        <v>68</v>
      </c>
      <c r="H288" t="s">
        <v>69</v>
      </c>
      <c r="I288" t="s">
        <v>27</v>
      </c>
      <c r="J288" t="s">
        <v>438</v>
      </c>
      <c r="K288">
        <v>10634.48</v>
      </c>
      <c r="L288">
        <v>0.14230005329655199</v>
      </c>
      <c r="M288">
        <v>2020</v>
      </c>
      <c r="N288" t="s">
        <v>1181</v>
      </c>
      <c r="O288">
        <v>2</v>
      </c>
      <c r="P288" t="s">
        <v>1217</v>
      </c>
    </row>
    <row r="289" spans="1:16" x14ac:dyDescent="0.3">
      <c r="A289" t="s">
        <v>22</v>
      </c>
      <c r="B289">
        <v>152676.76999999999</v>
      </c>
      <c r="C289">
        <v>122385.7</v>
      </c>
      <c r="D289" s="1">
        <v>44019</v>
      </c>
      <c r="E289" t="s">
        <v>181</v>
      </c>
      <c r="F289" t="s">
        <v>102</v>
      </c>
      <c r="G289" t="s">
        <v>25</v>
      </c>
      <c r="H289" t="s">
        <v>167</v>
      </c>
      <c r="I289" t="s">
        <v>27</v>
      </c>
      <c r="J289" t="s">
        <v>439</v>
      </c>
      <c r="K289">
        <v>30291.07</v>
      </c>
      <c r="L289">
        <v>0.19839999234985101</v>
      </c>
      <c r="M289">
        <v>2020</v>
      </c>
      <c r="N289" t="s">
        <v>1174</v>
      </c>
      <c r="O289">
        <v>7</v>
      </c>
      <c r="P289" t="s">
        <v>1214</v>
      </c>
    </row>
    <row r="290" spans="1:16" x14ac:dyDescent="0.3">
      <c r="A290" t="s">
        <v>10</v>
      </c>
      <c r="B290">
        <v>63196.98</v>
      </c>
      <c r="C290">
        <v>54671.71</v>
      </c>
      <c r="D290" s="1">
        <v>43573</v>
      </c>
      <c r="E290" t="s">
        <v>51</v>
      </c>
      <c r="F290" t="s">
        <v>102</v>
      </c>
      <c r="G290" t="s">
        <v>13</v>
      </c>
      <c r="H290" t="s">
        <v>110</v>
      </c>
      <c r="I290" t="s">
        <v>27</v>
      </c>
      <c r="J290" t="s">
        <v>440</v>
      </c>
      <c r="K290">
        <v>8525.27</v>
      </c>
      <c r="L290">
        <v>0.134899958827146</v>
      </c>
      <c r="M290">
        <v>2019</v>
      </c>
      <c r="N290" t="s">
        <v>1172</v>
      </c>
      <c r="O290">
        <v>4</v>
      </c>
      <c r="P290" t="s">
        <v>1215</v>
      </c>
    </row>
    <row r="291" spans="1:16" x14ac:dyDescent="0.3">
      <c r="A291" t="s">
        <v>22</v>
      </c>
      <c r="B291">
        <v>172444.09</v>
      </c>
      <c r="C291">
        <v>149681.47</v>
      </c>
      <c r="D291" s="1">
        <v>43586</v>
      </c>
      <c r="E291" t="s">
        <v>51</v>
      </c>
      <c r="F291" t="s">
        <v>244</v>
      </c>
      <c r="G291" t="s">
        <v>25</v>
      </c>
      <c r="H291" t="s">
        <v>63</v>
      </c>
      <c r="I291" t="s">
        <v>27</v>
      </c>
      <c r="J291" t="s">
        <v>441</v>
      </c>
      <c r="K291">
        <v>22762.62</v>
      </c>
      <c r="L291">
        <v>0.132000000695878</v>
      </c>
      <c r="M291">
        <v>2019</v>
      </c>
      <c r="N291" t="s">
        <v>1173</v>
      </c>
      <c r="O291">
        <v>5</v>
      </c>
      <c r="P291" t="s">
        <v>1215</v>
      </c>
    </row>
    <row r="292" spans="1:16" x14ac:dyDescent="0.3">
      <c r="A292" t="s">
        <v>34</v>
      </c>
      <c r="B292">
        <v>78013.63</v>
      </c>
      <c r="C292">
        <v>64509.47</v>
      </c>
      <c r="D292" s="1">
        <v>43925</v>
      </c>
      <c r="E292" t="s">
        <v>40</v>
      </c>
      <c r="F292" t="s">
        <v>214</v>
      </c>
      <c r="G292" t="s">
        <v>36</v>
      </c>
      <c r="H292" t="s">
        <v>37</v>
      </c>
      <c r="I292" t="s">
        <v>27</v>
      </c>
      <c r="J292" t="s">
        <v>442</v>
      </c>
      <c r="K292">
        <v>13504.16</v>
      </c>
      <c r="L292">
        <v>0.17310000829342301</v>
      </c>
      <c r="M292">
        <v>2020</v>
      </c>
      <c r="N292" t="s">
        <v>1172</v>
      </c>
      <c r="O292">
        <v>4</v>
      </c>
      <c r="P292" t="s">
        <v>1215</v>
      </c>
    </row>
    <row r="293" spans="1:16" x14ac:dyDescent="0.3">
      <c r="A293" t="s">
        <v>17</v>
      </c>
      <c r="B293">
        <v>84712.13</v>
      </c>
      <c r="C293">
        <v>73004.91</v>
      </c>
      <c r="D293" s="1">
        <v>44142</v>
      </c>
      <c r="E293" t="s">
        <v>91</v>
      </c>
      <c r="F293" t="s">
        <v>97</v>
      </c>
      <c r="G293" t="s">
        <v>19</v>
      </c>
      <c r="H293" t="s">
        <v>157</v>
      </c>
      <c r="I293" t="s">
        <v>27</v>
      </c>
      <c r="J293" t="s">
        <v>443</v>
      </c>
      <c r="K293">
        <v>11707.22</v>
      </c>
      <c r="L293">
        <v>0.13820004289822499</v>
      </c>
      <c r="M293">
        <v>2020</v>
      </c>
      <c r="N293" t="s">
        <v>1180</v>
      </c>
      <c r="O293">
        <v>11</v>
      </c>
      <c r="P293" t="s">
        <v>1216</v>
      </c>
    </row>
    <row r="294" spans="1:16" x14ac:dyDescent="0.3">
      <c r="A294" t="s">
        <v>22</v>
      </c>
      <c r="B294">
        <v>28859.73</v>
      </c>
      <c r="C294">
        <v>23656.32</v>
      </c>
      <c r="D294" s="1">
        <v>43709</v>
      </c>
      <c r="E294" t="s">
        <v>29</v>
      </c>
      <c r="F294" t="s">
        <v>244</v>
      </c>
      <c r="G294" t="s">
        <v>25</v>
      </c>
      <c r="H294" t="s">
        <v>26</v>
      </c>
      <c r="I294" t="s">
        <v>32</v>
      </c>
      <c r="J294" t="s">
        <v>444</v>
      </c>
      <c r="K294">
        <v>5203.41</v>
      </c>
      <c r="L294">
        <v>0.18030002359689401</v>
      </c>
      <c r="M294">
        <v>2019</v>
      </c>
      <c r="N294" t="s">
        <v>1175</v>
      </c>
      <c r="O294">
        <v>9</v>
      </c>
      <c r="P294" t="s">
        <v>1216</v>
      </c>
    </row>
    <row r="295" spans="1:16" x14ac:dyDescent="0.3">
      <c r="A295" t="s">
        <v>66</v>
      </c>
      <c r="B295">
        <v>71360.36</v>
      </c>
      <c r="C295">
        <v>59750.03</v>
      </c>
      <c r="D295" s="1">
        <v>43497</v>
      </c>
      <c r="E295" t="s">
        <v>29</v>
      </c>
      <c r="F295" t="s">
        <v>133</v>
      </c>
      <c r="G295" t="s">
        <v>68</v>
      </c>
      <c r="H295" t="s">
        <v>69</v>
      </c>
      <c r="I295" t="s">
        <v>27</v>
      </c>
      <c r="J295" t="s">
        <v>445</v>
      </c>
      <c r="K295">
        <v>11610.33</v>
      </c>
      <c r="L295">
        <v>0.16269999198434501</v>
      </c>
      <c r="M295">
        <v>2019</v>
      </c>
      <c r="N295" t="s">
        <v>1181</v>
      </c>
      <c r="O295">
        <v>2</v>
      </c>
      <c r="P295" t="s">
        <v>1217</v>
      </c>
    </row>
    <row r="296" spans="1:16" x14ac:dyDescent="0.3">
      <c r="A296" t="s">
        <v>17</v>
      </c>
      <c r="B296">
        <v>161212.39000000001</v>
      </c>
      <c r="C296">
        <v>138046.17000000001</v>
      </c>
      <c r="D296" s="1">
        <v>43928</v>
      </c>
      <c r="E296" t="s">
        <v>55</v>
      </c>
      <c r="F296" t="s">
        <v>256</v>
      </c>
      <c r="G296" t="s">
        <v>19</v>
      </c>
      <c r="H296" t="s">
        <v>31</v>
      </c>
      <c r="I296" t="s">
        <v>27</v>
      </c>
      <c r="J296" t="s">
        <v>446</v>
      </c>
      <c r="K296">
        <v>23166.22</v>
      </c>
      <c r="L296">
        <v>0.143699997252072</v>
      </c>
      <c r="M296">
        <v>2020</v>
      </c>
      <c r="N296" t="s">
        <v>1172</v>
      </c>
      <c r="O296">
        <v>4</v>
      </c>
      <c r="P296" t="s">
        <v>1215</v>
      </c>
    </row>
    <row r="297" spans="1:16" x14ac:dyDescent="0.3">
      <c r="A297" t="s">
        <v>34</v>
      </c>
      <c r="B297">
        <v>124668.36</v>
      </c>
      <c r="C297">
        <v>103998.35</v>
      </c>
      <c r="D297" s="1">
        <v>43962</v>
      </c>
      <c r="E297" t="s">
        <v>11</v>
      </c>
      <c r="F297" t="s">
        <v>106</v>
      </c>
      <c r="G297" t="s">
        <v>36</v>
      </c>
      <c r="H297" t="s">
        <v>104</v>
      </c>
      <c r="I297" t="s">
        <v>27</v>
      </c>
      <c r="J297" t="s">
        <v>447</v>
      </c>
      <c r="K297">
        <v>20670.009999999998</v>
      </c>
      <c r="L297">
        <v>0.165799967209002</v>
      </c>
      <c r="M297">
        <v>2020</v>
      </c>
      <c r="N297" t="s">
        <v>1173</v>
      </c>
      <c r="O297">
        <v>5</v>
      </c>
      <c r="P297" t="s">
        <v>1215</v>
      </c>
    </row>
    <row r="298" spans="1:16" x14ac:dyDescent="0.3">
      <c r="A298" t="s">
        <v>129</v>
      </c>
      <c r="B298">
        <v>186397.6</v>
      </c>
      <c r="C298">
        <v>161233.92000000001</v>
      </c>
      <c r="D298" s="1">
        <v>43933</v>
      </c>
      <c r="E298" t="s">
        <v>23</v>
      </c>
      <c r="F298" t="s">
        <v>77</v>
      </c>
      <c r="G298" t="s">
        <v>130</v>
      </c>
      <c r="H298" t="s">
        <v>131</v>
      </c>
      <c r="I298" t="s">
        <v>32</v>
      </c>
      <c r="J298" t="s">
        <v>448</v>
      </c>
      <c r="K298">
        <v>25163.68</v>
      </c>
      <c r="L298">
        <v>0.13500002145950399</v>
      </c>
      <c r="M298">
        <v>2020</v>
      </c>
      <c r="N298" t="s">
        <v>1172</v>
      </c>
      <c r="O298">
        <v>4</v>
      </c>
      <c r="P298" t="s">
        <v>1215</v>
      </c>
    </row>
    <row r="299" spans="1:16" x14ac:dyDescent="0.3">
      <c r="A299" t="s">
        <v>10</v>
      </c>
      <c r="B299">
        <v>153823.74</v>
      </c>
      <c r="C299">
        <v>129258.09</v>
      </c>
      <c r="D299" s="1">
        <v>44165</v>
      </c>
      <c r="E299" t="s">
        <v>29</v>
      </c>
      <c r="F299" t="s">
        <v>236</v>
      </c>
      <c r="G299" t="s">
        <v>13</v>
      </c>
      <c r="H299" t="s">
        <v>81</v>
      </c>
      <c r="I299" t="s">
        <v>32</v>
      </c>
      <c r="J299" t="s">
        <v>449</v>
      </c>
      <c r="K299">
        <v>24565.65</v>
      </c>
      <c r="L299">
        <v>0.15969999169179</v>
      </c>
      <c r="M299">
        <v>2020</v>
      </c>
      <c r="N299" t="s">
        <v>1180</v>
      </c>
      <c r="O299">
        <v>11</v>
      </c>
      <c r="P299" t="s">
        <v>1216</v>
      </c>
    </row>
    <row r="300" spans="1:16" x14ac:dyDescent="0.3">
      <c r="A300" t="s">
        <v>54</v>
      </c>
      <c r="B300">
        <v>169544.95</v>
      </c>
      <c r="C300">
        <v>137568.76999999999</v>
      </c>
      <c r="D300" s="1">
        <v>44169</v>
      </c>
      <c r="E300" t="s">
        <v>23</v>
      </c>
      <c r="F300" t="s">
        <v>214</v>
      </c>
      <c r="G300" t="s">
        <v>57</v>
      </c>
      <c r="H300" t="s">
        <v>58</v>
      </c>
      <c r="I300" t="s">
        <v>32</v>
      </c>
      <c r="J300" t="s">
        <v>450</v>
      </c>
      <c r="K300">
        <v>31976.18</v>
      </c>
      <c r="L300">
        <v>0.188600014332482</v>
      </c>
      <c r="M300">
        <v>2020</v>
      </c>
      <c r="N300" t="s">
        <v>1182</v>
      </c>
      <c r="O300">
        <v>12</v>
      </c>
      <c r="P300" t="s">
        <v>1217</v>
      </c>
    </row>
    <row r="301" spans="1:16" x14ac:dyDescent="0.3">
      <c r="A301" t="s">
        <v>10</v>
      </c>
      <c r="B301">
        <v>58010.14</v>
      </c>
      <c r="C301">
        <v>46089.06</v>
      </c>
      <c r="D301" s="1">
        <v>43778</v>
      </c>
      <c r="E301" t="s">
        <v>23</v>
      </c>
      <c r="F301" t="s">
        <v>144</v>
      </c>
      <c r="G301" t="s">
        <v>13</v>
      </c>
      <c r="H301" t="s">
        <v>14</v>
      </c>
      <c r="I301" t="s">
        <v>27</v>
      </c>
      <c r="J301" t="s">
        <v>451</v>
      </c>
      <c r="K301">
        <v>11921.08</v>
      </c>
      <c r="L301">
        <v>0.20549993501136199</v>
      </c>
      <c r="M301">
        <v>2019</v>
      </c>
      <c r="N301" t="s">
        <v>1180</v>
      </c>
      <c r="O301">
        <v>11</v>
      </c>
      <c r="P301" t="s">
        <v>1216</v>
      </c>
    </row>
    <row r="302" spans="1:16" x14ac:dyDescent="0.3">
      <c r="A302" t="s">
        <v>143</v>
      </c>
      <c r="B302">
        <v>58933.16</v>
      </c>
      <c r="C302">
        <v>51855.29</v>
      </c>
      <c r="D302" s="1">
        <v>43728</v>
      </c>
      <c r="E302" t="s">
        <v>29</v>
      </c>
      <c r="F302" t="s">
        <v>156</v>
      </c>
      <c r="G302" t="s">
        <v>145</v>
      </c>
      <c r="H302" t="s">
        <v>206</v>
      </c>
      <c r="I302" t="s">
        <v>32</v>
      </c>
      <c r="J302" t="s">
        <v>452</v>
      </c>
      <c r="K302">
        <v>7077.87</v>
      </c>
      <c r="L302">
        <v>0.12009995730756701</v>
      </c>
      <c r="M302">
        <v>2019</v>
      </c>
      <c r="N302" t="s">
        <v>1175</v>
      </c>
      <c r="O302">
        <v>9</v>
      </c>
      <c r="P302" t="s">
        <v>1216</v>
      </c>
    </row>
    <row r="303" spans="1:16" x14ac:dyDescent="0.3">
      <c r="A303" t="s">
        <v>34</v>
      </c>
      <c r="B303">
        <v>165631.75</v>
      </c>
      <c r="C303">
        <v>139114.10999999999</v>
      </c>
      <c r="D303" s="1">
        <v>43533</v>
      </c>
      <c r="E303" t="s">
        <v>23</v>
      </c>
      <c r="F303" t="s">
        <v>56</v>
      </c>
      <c r="G303" t="s">
        <v>36</v>
      </c>
      <c r="H303" t="s">
        <v>93</v>
      </c>
      <c r="I303" t="s">
        <v>27</v>
      </c>
      <c r="J303" t="s">
        <v>453</v>
      </c>
      <c r="K303">
        <v>26517.64</v>
      </c>
      <c r="L303">
        <v>0.16009998083096999</v>
      </c>
      <c r="M303">
        <v>2019</v>
      </c>
      <c r="N303" t="s">
        <v>1176</v>
      </c>
      <c r="O303">
        <v>3</v>
      </c>
      <c r="P303" t="s">
        <v>1215</v>
      </c>
    </row>
    <row r="304" spans="1:16" x14ac:dyDescent="0.3">
      <c r="A304" t="s">
        <v>17</v>
      </c>
      <c r="B304">
        <v>76543.360000000001</v>
      </c>
      <c r="C304">
        <v>65819.64</v>
      </c>
      <c r="D304" s="1">
        <v>43545</v>
      </c>
      <c r="E304" t="s">
        <v>55</v>
      </c>
      <c r="F304" t="s">
        <v>285</v>
      </c>
      <c r="G304" t="s">
        <v>19</v>
      </c>
      <c r="H304" t="s">
        <v>157</v>
      </c>
      <c r="I304" t="s">
        <v>27</v>
      </c>
      <c r="J304" t="s">
        <v>454</v>
      </c>
      <c r="K304">
        <v>10723.72</v>
      </c>
      <c r="L304">
        <v>0.14009993812657301</v>
      </c>
      <c r="M304">
        <v>2019</v>
      </c>
      <c r="N304" t="s">
        <v>1176</v>
      </c>
      <c r="O304">
        <v>3</v>
      </c>
      <c r="P304" t="s">
        <v>1215</v>
      </c>
    </row>
    <row r="305" spans="1:16" x14ac:dyDescent="0.3">
      <c r="A305" t="s">
        <v>17</v>
      </c>
      <c r="B305">
        <v>82697.53</v>
      </c>
      <c r="C305">
        <v>69548.62</v>
      </c>
      <c r="D305" s="1">
        <v>44173</v>
      </c>
      <c r="E305" t="s">
        <v>11</v>
      </c>
      <c r="F305" t="s">
        <v>80</v>
      </c>
      <c r="G305" t="s">
        <v>19</v>
      </c>
      <c r="H305" t="s">
        <v>49</v>
      </c>
      <c r="I305" t="s">
        <v>27</v>
      </c>
      <c r="J305" t="s">
        <v>455</v>
      </c>
      <c r="K305">
        <v>13148.91</v>
      </c>
      <c r="L305">
        <v>0.15900003301186899</v>
      </c>
      <c r="M305">
        <v>2020</v>
      </c>
      <c r="N305" t="s">
        <v>1182</v>
      </c>
      <c r="O305">
        <v>12</v>
      </c>
      <c r="P305" t="s">
        <v>1217</v>
      </c>
    </row>
    <row r="306" spans="1:16" x14ac:dyDescent="0.3">
      <c r="A306" t="s">
        <v>22</v>
      </c>
      <c r="B306">
        <v>135211.42000000001</v>
      </c>
      <c r="C306">
        <v>108534.21</v>
      </c>
      <c r="D306" s="1">
        <v>43807</v>
      </c>
      <c r="E306" t="s">
        <v>40</v>
      </c>
      <c r="F306" t="s">
        <v>244</v>
      </c>
      <c r="G306" t="s">
        <v>25</v>
      </c>
      <c r="H306" t="s">
        <v>26</v>
      </c>
      <c r="I306" t="s">
        <v>27</v>
      </c>
      <c r="J306" t="s">
        <v>456</v>
      </c>
      <c r="K306">
        <v>26677.21</v>
      </c>
      <c r="L306">
        <v>0.19729997658481799</v>
      </c>
      <c r="M306">
        <v>2019</v>
      </c>
      <c r="N306" t="s">
        <v>1182</v>
      </c>
      <c r="O306">
        <v>12</v>
      </c>
      <c r="P306" t="s">
        <v>1217</v>
      </c>
    </row>
    <row r="307" spans="1:16" x14ac:dyDescent="0.3">
      <c r="A307" t="s">
        <v>39</v>
      </c>
      <c r="B307">
        <v>142353.07</v>
      </c>
      <c r="C307">
        <v>116046.22</v>
      </c>
      <c r="D307" s="1">
        <v>43670</v>
      </c>
      <c r="E307" t="s">
        <v>91</v>
      </c>
      <c r="F307" t="s">
        <v>174</v>
      </c>
      <c r="G307" t="s">
        <v>42</v>
      </c>
      <c r="H307" t="s">
        <v>43</v>
      </c>
      <c r="I307" t="s">
        <v>27</v>
      </c>
      <c r="J307" t="s">
        <v>457</v>
      </c>
      <c r="K307">
        <v>26306.85</v>
      </c>
      <c r="L307">
        <v>0.18480001871403301</v>
      </c>
      <c r="M307">
        <v>2019</v>
      </c>
      <c r="N307" t="s">
        <v>1174</v>
      </c>
      <c r="O307">
        <v>7</v>
      </c>
      <c r="P307" t="s">
        <v>1214</v>
      </c>
    </row>
    <row r="308" spans="1:16" x14ac:dyDescent="0.3">
      <c r="A308" t="s">
        <v>34</v>
      </c>
      <c r="B308">
        <v>156177.76999999999</v>
      </c>
      <c r="C308">
        <v>130096.08</v>
      </c>
      <c r="D308" s="1">
        <v>43823</v>
      </c>
      <c r="E308" t="s">
        <v>40</v>
      </c>
      <c r="F308" t="s">
        <v>56</v>
      </c>
      <c r="G308" t="s">
        <v>36</v>
      </c>
      <c r="H308" t="s">
        <v>104</v>
      </c>
      <c r="I308" t="s">
        <v>27</v>
      </c>
      <c r="J308" t="s">
        <v>458</v>
      </c>
      <c r="K308">
        <v>26081.69</v>
      </c>
      <c r="L308">
        <v>0.16700001543113299</v>
      </c>
      <c r="M308">
        <v>2019</v>
      </c>
      <c r="N308" t="s">
        <v>1182</v>
      </c>
      <c r="O308">
        <v>12</v>
      </c>
      <c r="P308" t="s">
        <v>1217</v>
      </c>
    </row>
    <row r="309" spans="1:16" x14ac:dyDescent="0.3">
      <c r="A309" t="s">
        <v>22</v>
      </c>
      <c r="B309">
        <v>99832.12</v>
      </c>
      <c r="C309">
        <v>84128.53</v>
      </c>
      <c r="D309" s="1">
        <v>43600</v>
      </c>
      <c r="E309" t="s">
        <v>23</v>
      </c>
      <c r="F309" t="s">
        <v>164</v>
      </c>
      <c r="G309" t="s">
        <v>25</v>
      </c>
      <c r="H309" t="s">
        <v>52</v>
      </c>
      <c r="I309" t="s">
        <v>27</v>
      </c>
      <c r="J309" t="s">
        <v>459</v>
      </c>
      <c r="K309">
        <v>15703.59</v>
      </c>
      <c r="L309">
        <v>0.157299975198363</v>
      </c>
      <c r="M309">
        <v>2019</v>
      </c>
      <c r="N309" t="s">
        <v>1173</v>
      </c>
      <c r="O309">
        <v>5</v>
      </c>
      <c r="P309" t="s">
        <v>1215</v>
      </c>
    </row>
    <row r="310" spans="1:16" x14ac:dyDescent="0.3">
      <c r="A310" t="s">
        <v>34</v>
      </c>
      <c r="B310">
        <v>176662.26</v>
      </c>
      <c r="C310">
        <v>146859.34</v>
      </c>
      <c r="D310" s="1">
        <v>44010</v>
      </c>
      <c r="E310" t="s">
        <v>29</v>
      </c>
      <c r="F310" t="s">
        <v>74</v>
      </c>
      <c r="G310" t="s">
        <v>36</v>
      </c>
      <c r="H310" t="s">
        <v>37</v>
      </c>
      <c r="I310" t="s">
        <v>27</v>
      </c>
      <c r="J310" t="s">
        <v>460</v>
      </c>
      <c r="K310">
        <v>29802.92</v>
      </c>
      <c r="L310">
        <v>0.16869998153538801</v>
      </c>
      <c r="M310">
        <v>2020</v>
      </c>
      <c r="N310" t="s">
        <v>1179</v>
      </c>
      <c r="O310">
        <v>6</v>
      </c>
      <c r="P310" t="s">
        <v>1214</v>
      </c>
    </row>
    <row r="311" spans="1:16" x14ac:dyDescent="0.3">
      <c r="A311" t="s">
        <v>22</v>
      </c>
      <c r="B311">
        <v>156839.31</v>
      </c>
      <c r="C311">
        <v>134709.28</v>
      </c>
      <c r="D311" s="1">
        <v>44140</v>
      </c>
      <c r="E311" t="s">
        <v>51</v>
      </c>
      <c r="F311" t="s">
        <v>461</v>
      </c>
      <c r="G311" t="s">
        <v>25</v>
      </c>
      <c r="H311" t="s">
        <v>26</v>
      </c>
      <c r="I311" t="s">
        <v>27</v>
      </c>
      <c r="J311" t="s">
        <v>462</v>
      </c>
      <c r="K311">
        <v>22130.03</v>
      </c>
      <c r="L311">
        <v>0.14110002141682501</v>
      </c>
      <c r="M311">
        <v>2020</v>
      </c>
      <c r="N311" t="s">
        <v>1180</v>
      </c>
      <c r="O311">
        <v>11</v>
      </c>
      <c r="P311" t="s">
        <v>1216</v>
      </c>
    </row>
    <row r="312" spans="1:16" x14ac:dyDescent="0.3">
      <c r="A312" t="s">
        <v>17</v>
      </c>
      <c r="B312">
        <v>74685.850000000006</v>
      </c>
      <c r="C312">
        <v>59166.13</v>
      </c>
      <c r="D312" s="1">
        <v>43974</v>
      </c>
      <c r="E312" t="s">
        <v>11</v>
      </c>
      <c r="F312" t="s">
        <v>312</v>
      </c>
      <c r="G312" t="s">
        <v>19</v>
      </c>
      <c r="H312" t="s">
        <v>49</v>
      </c>
      <c r="I312" t="s">
        <v>27</v>
      </c>
      <c r="J312" t="s">
        <v>463</v>
      </c>
      <c r="K312">
        <v>15519.72</v>
      </c>
      <c r="L312">
        <v>0.20780000495408399</v>
      </c>
      <c r="M312">
        <v>2020</v>
      </c>
      <c r="N312" t="s">
        <v>1173</v>
      </c>
      <c r="O312">
        <v>5</v>
      </c>
      <c r="P312" t="s">
        <v>1215</v>
      </c>
    </row>
    <row r="313" spans="1:16" x14ac:dyDescent="0.3">
      <c r="A313" t="s">
        <v>39</v>
      </c>
      <c r="B313">
        <v>127830.38</v>
      </c>
      <c r="C313">
        <v>103874.97</v>
      </c>
      <c r="D313" s="1">
        <v>43972</v>
      </c>
      <c r="E313" t="s">
        <v>11</v>
      </c>
      <c r="F313" t="s">
        <v>45</v>
      </c>
      <c r="G313" t="s">
        <v>42</v>
      </c>
      <c r="H313" t="s">
        <v>43</v>
      </c>
      <c r="I313" t="s">
        <v>27</v>
      </c>
      <c r="J313" t="s">
        <v>464</v>
      </c>
      <c r="K313">
        <v>23955.41</v>
      </c>
      <c r="L313">
        <v>0.18739997487295301</v>
      </c>
      <c r="M313">
        <v>2020</v>
      </c>
      <c r="N313" t="s">
        <v>1173</v>
      </c>
      <c r="O313">
        <v>5</v>
      </c>
      <c r="P313" t="s">
        <v>1215</v>
      </c>
    </row>
    <row r="314" spans="1:16" x14ac:dyDescent="0.3">
      <c r="A314" t="s">
        <v>129</v>
      </c>
      <c r="B314">
        <v>132246.48000000001</v>
      </c>
      <c r="C314">
        <v>106841.93</v>
      </c>
      <c r="D314" s="1">
        <v>43497</v>
      </c>
      <c r="E314" t="s">
        <v>11</v>
      </c>
      <c r="F314" t="s">
        <v>74</v>
      </c>
      <c r="G314" t="s">
        <v>130</v>
      </c>
      <c r="H314" t="s">
        <v>131</v>
      </c>
      <c r="I314" t="s">
        <v>27</v>
      </c>
      <c r="J314" t="s">
        <v>465</v>
      </c>
      <c r="K314">
        <v>25404.55</v>
      </c>
      <c r="L314">
        <v>0.19210000901347199</v>
      </c>
      <c r="M314">
        <v>2019</v>
      </c>
      <c r="N314" t="s">
        <v>1181</v>
      </c>
      <c r="O314">
        <v>2</v>
      </c>
      <c r="P314" t="s">
        <v>1217</v>
      </c>
    </row>
    <row r="315" spans="1:16" x14ac:dyDescent="0.3">
      <c r="A315" t="s">
        <v>216</v>
      </c>
      <c r="B315">
        <v>102073.04</v>
      </c>
      <c r="C315">
        <v>81770.710000000006</v>
      </c>
      <c r="D315" s="1">
        <v>43864</v>
      </c>
      <c r="E315" t="s">
        <v>181</v>
      </c>
      <c r="F315" t="s">
        <v>400</v>
      </c>
      <c r="G315" t="s">
        <v>217</v>
      </c>
      <c r="H315" t="s">
        <v>218</v>
      </c>
      <c r="I315" t="s">
        <v>32</v>
      </c>
      <c r="J315" t="s">
        <v>466</v>
      </c>
      <c r="K315">
        <v>20302.330000000002</v>
      </c>
      <c r="L315">
        <v>0.19890002296394799</v>
      </c>
      <c r="M315">
        <v>2020</v>
      </c>
      <c r="N315" t="s">
        <v>1181</v>
      </c>
      <c r="O315">
        <v>2</v>
      </c>
      <c r="P315" t="s">
        <v>1217</v>
      </c>
    </row>
    <row r="316" spans="1:16" x14ac:dyDescent="0.3">
      <c r="A316" t="s">
        <v>34</v>
      </c>
      <c r="B316">
        <v>18897.97</v>
      </c>
      <c r="C316">
        <v>16469.580000000002</v>
      </c>
      <c r="D316" s="1">
        <v>43877</v>
      </c>
      <c r="E316" t="s">
        <v>99</v>
      </c>
      <c r="F316" t="s">
        <v>106</v>
      </c>
      <c r="G316" t="s">
        <v>36</v>
      </c>
      <c r="H316" t="s">
        <v>104</v>
      </c>
      <c r="I316" t="s">
        <v>32</v>
      </c>
      <c r="J316" t="s">
        <v>467</v>
      </c>
      <c r="K316">
        <v>2428.39</v>
      </c>
      <c r="L316">
        <v>0.128500045242955</v>
      </c>
      <c r="M316">
        <v>2020</v>
      </c>
      <c r="N316" t="s">
        <v>1181</v>
      </c>
      <c r="O316">
        <v>2</v>
      </c>
      <c r="P316" t="s">
        <v>1217</v>
      </c>
    </row>
    <row r="317" spans="1:16" x14ac:dyDescent="0.3">
      <c r="A317" t="s">
        <v>10</v>
      </c>
      <c r="B317">
        <v>144072.9</v>
      </c>
      <c r="C317">
        <v>123729.81</v>
      </c>
      <c r="D317" s="1">
        <v>43659</v>
      </c>
      <c r="E317" t="s">
        <v>76</v>
      </c>
      <c r="F317" t="s">
        <v>62</v>
      </c>
      <c r="G317" t="s">
        <v>13</v>
      </c>
      <c r="H317" t="s">
        <v>81</v>
      </c>
      <c r="I317" t="s">
        <v>27</v>
      </c>
      <c r="J317" t="s">
        <v>468</v>
      </c>
      <c r="K317">
        <v>20343.09</v>
      </c>
      <c r="L317">
        <v>0.14119997584556199</v>
      </c>
      <c r="M317">
        <v>2019</v>
      </c>
      <c r="N317" t="s">
        <v>1174</v>
      </c>
      <c r="O317">
        <v>7</v>
      </c>
      <c r="P317" t="s">
        <v>1214</v>
      </c>
    </row>
    <row r="318" spans="1:16" x14ac:dyDescent="0.3">
      <c r="A318" t="s">
        <v>10</v>
      </c>
      <c r="B318">
        <v>28755.32</v>
      </c>
      <c r="C318">
        <v>23938.799999999999</v>
      </c>
      <c r="D318" s="1">
        <v>43748</v>
      </c>
      <c r="E318" t="s">
        <v>91</v>
      </c>
      <c r="F318" t="s">
        <v>300</v>
      </c>
      <c r="G318" t="s">
        <v>13</v>
      </c>
      <c r="H318" t="s">
        <v>72</v>
      </c>
      <c r="I318" t="s">
        <v>27</v>
      </c>
      <c r="J318" t="s">
        <v>469</v>
      </c>
      <c r="K318">
        <v>4816.5200000000004</v>
      </c>
      <c r="L318">
        <v>0.167500135627077</v>
      </c>
      <c r="M318">
        <v>2019</v>
      </c>
      <c r="N318" t="s">
        <v>1178</v>
      </c>
      <c r="O318">
        <v>10</v>
      </c>
      <c r="P318" t="s">
        <v>1216</v>
      </c>
    </row>
    <row r="319" spans="1:16" x14ac:dyDescent="0.3">
      <c r="A319" t="s">
        <v>151</v>
      </c>
      <c r="B319">
        <v>161630.62</v>
      </c>
      <c r="C319">
        <v>133991.78</v>
      </c>
      <c r="D319" s="1">
        <v>43559</v>
      </c>
      <c r="E319" t="s">
        <v>23</v>
      </c>
      <c r="F319" t="s">
        <v>74</v>
      </c>
      <c r="G319" t="s">
        <v>152</v>
      </c>
      <c r="H319" t="s">
        <v>153</v>
      </c>
      <c r="I319" t="s">
        <v>27</v>
      </c>
      <c r="J319" t="s">
        <v>470</v>
      </c>
      <c r="K319">
        <v>27638.84</v>
      </c>
      <c r="L319">
        <v>0.17100002462404701</v>
      </c>
      <c r="M319">
        <v>2019</v>
      </c>
      <c r="N319" t="s">
        <v>1172</v>
      </c>
      <c r="O319">
        <v>4</v>
      </c>
      <c r="P319" t="s">
        <v>1215</v>
      </c>
    </row>
    <row r="320" spans="1:16" x14ac:dyDescent="0.3">
      <c r="A320" t="s">
        <v>17</v>
      </c>
      <c r="B320">
        <v>234961.46</v>
      </c>
      <c r="C320">
        <v>199388.3</v>
      </c>
      <c r="D320" s="1">
        <v>43502</v>
      </c>
      <c r="E320" t="s">
        <v>55</v>
      </c>
      <c r="F320" t="s">
        <v>471</v>
      </c>
      <c r="G320" t="s">
        <v>19</v>
      </c>
      <c r="H320" t="s">
        <v>78</v>
      </c>
      <c r="I320" t="s">
        <v>32</v>
      </c>
      <c r="J320" t="s">
        <v>472</v>
      </c>
      <c r="K320">
        <v>35573.160000000003</v>
      </c>
      <c r="L320">
        <v>0.15139997853265</v>
      </c>
      <c r="M320">
        <v>2019</v>
      </c>
      <c r="N320" t="s">
        <v>1181</v>
      </c>
      <c r="O320">
        <v>2</v>
      </c>
      <c r="P320" t="s">
        <v>1217</v>
      </c>
    </row>
    <row r="321" spans="1:16" x14ac:dyDescent="0.3">
      <c r="A321" t="s">
        <v>39</v>
      </c>
      <c r="B321">
        <v>38536.92</v>
      </c>
      <c r="C321">
        <v>32001.06</v>
      </c>
      <c r="D321" s="1">
        <v>43979</v>
      </c>
      <c r="E321" t="s">
        <v>91</v>
      </c>
      <c r="F321" t="s">
        <v>102</v>
      </c>
      <c r="G321" t="s">
        <v>42</v>
      </c>
      <c r="H321" t="s">
        <v>43</v>
      </c>
      <c r="I321" t="s">
        <v>32</v>
      </c>
      <c r="J321" t="s">
        <v>473</v>
      </c>
      <c r="K321">
        <v>6535.86</v>
      </c>
      <c r="L321">
        <v>0.169599957651001</v>
      </c>
      <c r="M321">
        <v>2020</v>
      </c>
      <c r="N321" t="s">
        <v>1173</v>
      </c>
      <c r="O321">
        <v>5</v>
      </c>
      <c r="P321" t="s">
        <v>1215</v>
      </c>
    </row>
    <row r="322" spans="1:16" x14ac:dyDescent="0.3">
      <c r="A322" t="s">
        <v>151</v>
      </c>
      <c r="B322">
        <v>46857.77</v>
      </c>
      <c r="C322">
        <v>39116.870000000003</v>
      </c>
      <c r="D322" s="1">
        <v>44001</v>
      </c>
      <c r="E322" t="s">
        <v>11</v>
      </c>
      <c r="F322" t="s">
        <v>56</v>
      </c>
      <c r="G322" t="s">
        <v>152</v>
      </c>
      <c r="H322" t="s">
        <v>153</v>
      </c>
      <c r="I322" t="s">
        <v>32</v>
      </c>
      <c r="J322" t="s">
        <v>474</v>
      </c>
      <c r="K322">
        <v>7740.9</v>
      </c>
      <c r="L322">
        <v>0.165199923086395</v>
      </c>
      <c r="M322">
        <v>2020</v>
      </c>
      <c r="N322" t="s">
        <v>1179</v>
      </c>
      <c r="O322">
        <v>6</v>
      </c>
      <c r="P322" t="s">
        <v>1214</v>
      </c>
    </row>
    <row r="323" spans="1:16" x14ac:dyDescent="0.3">
      <c r="A323" t="s">
        <v>10</v>
      </c>
      <c r="B323">
        <v>177215.51</v>
      </c>
      <c r="C323">
        <v>155807.88</v>
      </c>
      <c r="D323" s="1">
        <v>43651</v>
      </c>
      <c r="E323" t="s">
        <v>40</v>
      </c>
      <c r="F323" t="s">
        <v>308</v>
      </c>
      <c r="G323" t="s">
        <v>13</v>
      </c>
      <c r="H323" t="s">
        <v>46</v>
      </c>
      <c r="I323" t="s">
        <v>27</v>
      </c>
      <c r="J323" t="s">
        <v>475</v>
      </c>
      <c r="K323">
        <v>21407.63</v>
      </c>
      <c r="L323">
        <v>0.120799979640608</v>
      </c>
      <c r="M323">
        <v>2019</v>
      </c>
      <c r="N323" t="s">
        <v>1174</v>
      </c>
      <c r="O323">
        <v>7</v>
      </c>
      <c r="P323" t="s">
        <v>1214</v>
      </c>
    </row>
    <row r="324" spans="1:16" x14ac:dyDescent="0.3">
      <c r="A324" t="s">
        <v>34</v>
      </c>
      <c r="B324">
        <v>149938.35999999999</v>
      </c>
      <c r="C324">
        <v>123579.2</v>
      </c>
      <c r="D324" s="1">
        <v>44149</v>
      </c>
      <c r="E324" t="s">
        <v>23</v>
      </c>
      <c r="F324" t="s">
        <v>56</v>
      </c>
      <c r="G324" t="s">
        <v>36</v>
      </c>
      <c r="H324" t="s">
        <v>93</v>
      </c>
      <c r="I324" t="s">
        <v>27</v>
      </c>
      <c r="J324" t="s">
        <v>476</v>
      </c>
      <c r="K324">
        <v>26359.16</v>
      </c>
      <c r="L324">
        <v>0.17579997540322601</v>
      </c>
      <c r="M324">
        <v>2020</v>
      </c>
      <c r="N324" t="s">
        <v>1180</v>
      </c>
      <c r="O324">
        <v>11</v>
      </c>
      <c r="P324" t="s">
        <v>1216</v>
      </c>
    </row>
    <row r="325" spans="1:16" x14ac:dyDescent="0.3">
      <c r="A325" t="s">
        <v>10</v>
      </c>
      <c r="B325">
        <v>157683.41</v>
      </c>
      <c r="C325">
        <v>130624.94</v>
      </c>
      <c r="D325" s="1">
        <v>43683</v>
      </c>
      <c r="E325" t="s">
        <v>29</v>
      </c>
      <c r="F325" t="s">
        <v>24</v>
      </c>
      <c r="G325" t="s">
        <v>13</v>
      </c>
      <c r="H325" t="s">
        <v>46</v>
      </c>
      <c r="I325" t="s">
        <v>15</v>
      </c>
      <c r="J325" t="s">
        <v>477</v>
      </c>
      <c r="K325">
        <v>27058.47</v>
      </c>
      <c r="L325">
        <v>0.17159997998521201</v>
      </c>
      <c r="M325">
        <v>2019</v>
      </c>
      <c r="N325" t="s">
        <v>1171</v>
      </c>
      <c r="O325">
        <v>8</v>
      </c>
      <c r="P325" t="s">
        <v>1214</v>
      </c>
    </row>
    <row r="326" spans="1:16" x14ac:dyDescent="0.3">
      <c r="A326" t="s">
        <v>122</v>
      </c>
      <c r="B326">
        <v>91108.56</v>
      </c>
      <c r="C326">
        <v>74089.48</v>
      </c>
      <c r="D326" s="1">
        <v>44006</v>
      </c>
      <c r="E326" t="s">
        <v>23</v>
      </c>
      <c r="F326" t="s">
        <v>292</v>
      </c>
      <c r="G326" t="s">
        <v>123</v>
      </c>
      <c r="H326" t="s">
        <v>254</v>
      </c>
      <c r="I326" t="s">
        <v>27</v>
      </c>
      <c r="J326" t="s">
        <v>478</v>
      </c>
      <c r="K326">
        <v>17019.080000000002</v>
      </c>
      <c r="L326">
        <v>0.18680001088810999</v>
      </c>
      <c r="M326">
        <v>2020</v>
      </c>
      <c r="N326" t="s">
        <v>1179</v>
      </c>
      <c r="O326">
        <v>6</v>
      </c>
      <c r="P326" t="s">
        <v>1214</v>
      </c>
    </row>
    <row r="327" spans="1:16" x14ac:dyDescent="0.3">
      <c r="A327" t="s">
        <v>17</v>
      </c>
      <c r="B327">
        <v>165259.57999999999</v>
      </c>
      <c r="C327">
        <v>130703.8</v>
      </c>
      <c r="D327" s="1">
        <v>44008</v>
      </c>
      <c r="E327" t="s">
        <v>181</v>
      </c>
      <c r="F327" t="s">
        <v>126</v>
      </c>
      <c r="G327" t="s">
        <v>19</v>
      </c>
      <c r="H327" t="s">
        <v>31</v>
      </c>
      <c r="I327" t="s">
        <v>27</v>
      </c>
      <c r="J327" t="s">
        <v>479</v>
      </c>
      <c r="K327">
        <v>34555.78</v>
      </c>
      <c r="L327">
        <v>0.209100011025079</v>
      </c>
      <c r="M327">
        <v>2020</v>
      </c>
      <c r="N327" t="s">
        <v>1179</v>
      </c>
      <c r="O327">
        <v>6</v>
      </c>
      <c r="P327" t="s">
        <v>1214</v>
      </c>
    </row>
    <row r="328" spans="1:16" x14ac:dyDescent="0.3">
      <c r="A328" t="s">
        <v>22</v>
      </c>
      <c r="B328">
        <v>223233.32</v>
      </c>
      <c r="C328">
        <v>179100.09</v>
      </c>
      <c r="D328" s="1">
        <v>43644</v>
      </c>
      <c r="E328" t="s">
        <v>11</v>
      </c>
      <c r="F328" t="s">
        <v>45</v>
      </c>
      <c r="G328" t="s">
        <v>25</v>
      </c>
      <c r="H328" t="s">
        <v>26</v>
      </c>
      <c r="I328" t="s">
        <v>27</v>
      </c>
      <c r="J328" t="s">
        <v>480</v>
      </c>
      <c r="K328">
        <v>44133.23</v>
      </c>
      <c r="L328">
        <v>0.19770001180827301</v>
      </c>
      <c r="M328">
        <v>2019</v>
      </c>
      <c r="N328" t="s">
        <v>1179</v>
      </c>
      <c r="O328">
        <v>6</v>
      </c>
      <c r="P328" t="s">
        <v>1214</v>
      </c>
    </row>
    <row r="329" spans="1:16" x14ac:dyDescent="0.3">
      <c r="A329" t="s">
        <v>22</v>
      </c>
      <c r="B329">
        <v>84767.77</v>
      </c>
      <c r="C329">
        <v>68950.100000000006</v>
      </c>
      <c r="D329" s="1">
        <v>43848</v>
      </c>
      <c r="E329" t="s">
        <v>29</v>
      </c>
      <c r="F329" t="s">
        <v>139</v>
      </c>
      <c r="G329" t="s">
        <v>25</v>
      </c>
      <c r="H329" t="s">
        <v>167</v>
      </c>
      <c r="I329" t="s">
        <v>32</v>
      </c>
      <c r="J329" t="s">
        <v>481</v>
      </c>
      <c r="K329">
        <v>15817.67</v>
      </c>
      <c r="L329">
        <v>0.18660004857978399</v>
      </c>
      <c r="M329">
        <v>2020</v>
      </c>
      <c r="N329" t="s">
        <v>1177</v>
      </c>
      <c r="O329">
        <v>1</v>
      </c>
      <c r="P329" t="s">
        <v>1217</v>
      </c>
    </row>
    <row r="330" spans="1:16" x14ac:dyDescent="0.3">
      <c r="A330" t="s">
        <v>143</v>
      </c>
      <c r="B330">
        <v>144530.35</v>
      </c>
      <c r="C330">
        <v>115407.48</v>
      </c>
      <c r="D330" s="1">
        <v>43929</v>
      </c>
      <c r="E330" t="s">
        <v>99</v>
      </c>
      <c r="F330" t="s">
        <v>135</v>
      </c>
      <c r="G330" t="s">
        <v>145</v>
      </c>
      <c r="H330" t="s">
        <v>262</v>
      </c>
      <c r="I330" t="s">
        <v>27</v>
      </c>
      <c r="J330" t="s">
        <v>482</v>
      </c>
      <c r="K330">
        <v>29122.87</v>
      </c>
      <c r="L330">
        <v>0.201500030962355</v>
      </c>
      <c r="M330">
        <v>2020</v>
      </c>
      <c r="N330" t="s">
        <v>1172</v>
      </c>
      <c r="O330">
        <v>4</v>
      </c>
      <c r="P330" t="s">
        <v>1215</v>
      </c>
    </row>
    <row r="331" spans="1:16" x14ac:dyDescent="0.3">
      <c r="A331" t="s">
        <v>34</v>
      </c>
      <c r="B331">
        <v>178560.1</v>
      </c>
      <c r="C331">
        <v>150383.32</v>
      </c>
      <c r="D331" s="1">
        <v>43868</v>
      </c>
      <c r="E331" t="s">
        <v>91</v>
      </c>
      <c r="F331" t="s">
        <v>67</v>
      </c>
      <c r="G331" t="s">
        <v>36</v>
      </c>
      <c r="H331" t="s">
        <v>104</v>
      </c>
      <c r="I331" t="s">
        <v>32</v>
      </c>
      <c r="J331" t="s">
        <v>483</v>
      </c>
      <c r="K331">
        <v>28176.78</v>
      </c>
      <c r="L331">
        <v>0.157799978830657</v>
      </c>
      <c r="M331">
        <v>2020</v>
      </c>
      <c r="N331" t="s">
        <v>1181</v>
      </c>
      <c r="O331">
        <v>2</v>
      </c>
      <c r="P331" t="s">
        <v>1217</v>
      </c>
    </row>
    <row r="332" spans="1:16" x14ac:dyDescent="0.3">
      <c r="A332" t="s">
        <v>34</v>
      </c>
      <c r="B332">
        <v>96669.92</v>
      </c>
      <c r="C332">
        <v>76475.570000000007</v>
      </c>
      <c r="D332" s="1">
        <v>44192</v>
      </c>
      <c r="E332" t="s">
        <v>23</v>
      </c>
      <c r="F332" t="s">
        <v>56</v>
      </c>
      <c r="G332" t="s">
        <v>36</v>
      </c>
      <c r="H332" t="s">
        <v>104</v>
      </c>
      <c r="I332" t="s">
        <v>32</v>
      </c>
      <c r="J332" t="s">
        <v>484</v>
      </c>
      <c r="K332">
        <v>20194.349999999999</v>
      </c>
      <c r="L332">
        <v>0.20890003839870799</v>
      </c>
      <c r="M332">
        <v>2020</v>
      </c>
      <c r="N332" t="s">
        <v>1182</v>
      </c>
      <c r="O332">
        <v>12</v>
      </c>
      <c r="P332" t="s">
        <v>1217</v>
      </c>
    </row>
    <row r="333" spans="1:16" x14ac:dyDescent="0.3">
      <c r="A333" t="s">
        <v>17</v>
      </c>
      <c r="B333">
        <v>35289.75</v>
      </c>
      <c r="C333">
        <v>29424.59</v>
      </c>
      <c r="D333" s="1">
        <v>43522</v>
      </c>
      <c r="E333" t="s">
        <v>51</v>
      </c>
      <c r="F333" t="s">
        <v>126</v>
      </c>
      <c r="G333" t="s">
        <v>19</v>
      </c>
      <c r="H333" t="s">
        <v>78</v>
      </c>
      <c r="I333" t="s">
        <v>27</v>
      </c>
      <c r="J333" t="s">
        <v>485</v>
      </c>
      <c r="K333">
        <v>5865.16</v>
      </c>
      <c r="L333">
        <v>0.166200100595782</v>
      </c>
      <c r="M333">
        <v>2019</v>
      </c>
      <c r="N333" t="s">
        <v>1181</v>
      </c>
      <c r="O333">
        <v>2</v>
      </c>
      <c r="P333" t="s">
        <v>1217</v>
      </c>
    </row>
    <row r="334" spans="1:16" x14ac:dyDescent="0.3">
      <c r="A334" t="s">
        <v>22</v>
      </c>
      <c r="B334">
        <v>159216.47</v>
      </c>
      <c r="C334">
        <v>137419.74</v>
      </c>
      <c r="D334" s="1">
        <v>44008</v>
      </c>
      <c r="E334" t="s">
        <v>11</v>
      </c>
      <c r="F334" t="s">
        <v>56</v>
      </c>
      <c r="G334" t="s">
        <v>25</v>
      </c>
      <c r="H334" t="s">
        <v>167</v>
      </c>
      <c r="I334" t="s">
        <v>27</v>
      </c>
      <c r="J334" t="s">
        <v>486</v>
      </c>
      <c r="K334">
        <v>21796.73</v>
      </c>
      <c r="L334">
        <v>0.13689997021036801</v>
      </c>
      <c r="M334">
        <v>2020</v>
      </c>
      <c r="N334" t="s">
        <v>1179</v>
      </c>
      <c r="O334">
        <v>6</v>
      </c>
      <c r="P334" t="s">
        <v>1214</v>
      </c>
    </row>
    <row r="335" spans="1:16" x14ac:dyDescent="0.3">
      <c r="A335" t="s">
        <v>22</v>
      </c>
      <c r="B335">
        <v>32779.67</v>
      </c>
      <c r="C335">
        <v>26800.66</v>
      </c>
      <c r="D335" s="1">
        <v>43912</v>
      </c>
      <c r="E335" t="s">
        <v>181</v>
      </c>
      <c r="F335" t="s">
        <v>80</v>
      </c>
      <c r="G335" t="s">
        <v>25</v>
      </c>
      <c r="H335" t="s">
        <v>52</v>
      </c>
      <c r="I335" t="s">
        <v>27</v>
      </c>
      <c r="J335" t="s">
        <v>487</v>
      </c>
      <c r="K335">
        <v>5979.01</v>
      </c>
      <c r="L335">
        <v>0.18239994484386199</v>
      </c>
      <c r="M335">
        <v>2020</v>
      </c>
      <c r="N335" t="s">
        <v>1176</v>
      </c>
      <c r="O335">
        <v>3</v>
      </c>
      <c r="P335" t="s">
        <v>1215</v>
      </c>
    </row>
    <row r="336" spans="1:16" x14ac:dyDescent="0.3">
      <c r="A336" t="s">
        <v>22</v>
      </c>
      <c r="B336">
        <v>64192.86</v>
      </c>
      <c r="C336">
        <v>52837.14</v>
      </c>
      <c r="D336" s="1">
        <v>44169</v>
      </c>
      <c r="E336" t="s">
        <v>23</v>
      </c>
      <c r="F336" t="s">
        <v>56</v>
      </c>
      <c r="G336" t="s">
        <v>25</v>
      </c>
      <c r="H336" t="s">
        <v>87</v>
      </c>
      <c r="I336" t="s">
        <v>27</v>
      </c>
      <c r="J336" t="s">
        <v>488</v>
      </c>
      <c r="K336">
        <v>11355.72</v>
      </c>
      <c r="L336">
        <v>0.17690004776232099</v>
      </c>
      <c r="M336">
        <v>2020</v>
      </c>
      <c r="N336" t="s">
        <v>1182</v>
      </c>
      <c r="O336">
        <v>12</v>
      </c>
      <c r="P336" t="s">
        <v>1217</v>
      </c>
    </row>
    <row r="337" spans="1:16" x14ac:dyDescent="0.3">
      <c r="A337" t="s">
        <v>34</v>
      </c>
      <c r="B337">
        <v>47771.76</v>
      </c>
      <c r="C337">
        <v>39234.949999999997</v>
      </c>
      <c r="D337" s="1">
        <v>43614</v>
      </c>
      <c r="E337" t="s">
        <v>76</v>
      </c>
      <c r="F337" t="s">
        <v>174</v>
      </c>
      <c r="G337" t="s">
        <v>36</v>
      </c>
      <c r="H337" t="s">
        <v>37</v>
      </c>
      <c r="I337" t="s">
        <v>27</v>
      </c>
      <c r="J337" t="s">
        <v>489</v>
      </c>
      <c r="K337">
        <v>8536.81</v>
      </c>
      <c r="L337">
        <v>0.17869992648376401</v>
      </c>
      <c r="M337">
        <v>2019</v>
      </c>
      <c r="N337" t="s">
        <v>1173</v>
      </c>
      <c r="O337">
        <v>5</v>
      </c>
      <c r="P337" t="s">
        <v>1215</v>
      </c>
    </row>
    <row r="338" spans="1:16" x14ac:dyDescent="0.3">
      <c r="A338" t="s">
        <v>34</v>
      </c>
      <c r="B338">
        <v>126979.62</v>
      </c>
      <c r="C338">
        <v>105113.73</v>
      </c>
      <c r="D338" s="1">
        <v>43734</v>
      </c>
      <c r="E338" t="s">
        <v>29</v>
      </c>
      <c r="F338" t="s">
        <v>174</v>
      </c>
      <c r="G338" t="s">
        <v>36</v>
      </c>
      <c r="H338" t="s">
        <v>37</v>
      </c>
      <c r="I338" t="s">
        <v>27</v>
      </c>
      <c r="J338" t="s">
        <v>490</v>
      </c>
      <c r="K338">
        <v>21865.89</v>
      </c>
      <c r="L338">
        <v>0.17219999555834201</v>
      </c>
      <c r="M338">
        <v>2019</v>
      </c>
      <c r="N338" t="s">
        <v>1175</v>
      </c>
      <c r="O338">
        <v>9</v>
      </c>
      <c r="P338" t="s">
        <v>1216</v>
      </c>
    </row>
    <row r="339" spans="1:16" x14ac:dyDescent="0.3">
      <c r="A339" t="s">
        <v>247</v>
      </c>
      <c r="B339">
        <v>46311.34</v>
      </c>
      <c r="C339">
        <v>40564.1</v>
      </c>
      <c r="D339" s="1">
        <v>43833</v>
      </c>
      <c r="E339" t="s">
        <v>55</v>
      </c>
      <c r="F339" t="s">
        <v>471</v>
      </c>
      <c r="G339" t="s">
        <v>248</v>
      </c>
      <c r="H339" t="s">
        <v>249</v>
      </c>
      <c r="I339" t="s">
        <v>27</v>
      </c>
      <c r="J339" t="s">
        <v>491</v>
      </c>
      <c r="K339">
        <v>5747.24</v>
      </c>
      <c r="L339">
        <v>0.124100058430613</v>
      </c>
      <c r="M339">
        <v>2020</v>
      </c>
      <c r="N339" t="s">
        <v>1177</v>
      </c>
      <c r="O339">
        <v>1</v>
      </c>
      <c r="P339" t="s">
        <v>1217</v>
      </c>
    </row>
    <row r="340" spans="1:16" x14ac:dyDescent="0.3">
      <c r="A340" t="s">
        <v>10</v>
      </c>
      <c r="B340">
        <v>92877.57</v>
      </c>
      <c r="C340">
        <v>75936.7</v>
      </c>
      <c r="D340" s="1">
        <v>43955</v>
      </c>
      <c r="E340" t="s">
        <v>29</v>
      </c>
      <c r="F340" t="s">
        <v>18</v>
      </c>
      <c r="G340" t="s">
        <v>13</v>
      </c>
      <c r="H340" t="s">
        <v>72</v>
      </c>
      <c r="I340" t="s">
        <v>32</v>
      </c>
      <c r="J340" t="s">
        <v>492</v>
      </c>
      <c r="K340">
        <v>16940.87</v>
      </c>
      <c r="L340">
        <v>0.18240001326477401</v>
      </c>
      <c r="M340">
        <v>2020</v>
      </c>
      <c r="N340" t="s">
        <v>1173</v>
      </c>
      <c r="O340">
        <v>5</v>
      </c>
      <c r="P340" t="s">
        <v>1215</v>
      </c>
    </row>
    <row r="341" spans="1:16" x14ac:dyDescent="0.3">
      <c r="A341" t="s">
        <v>10</v>
      </c>
      <c r="B341">
        <v>86854.64</v>
      </c>
      <c r="C341">
        <v>72219.63</v>
      </c>
      <c r="D341" s="1">
        <v>43923</v>
      </c>
      <c r="E341" t="s">
        <v>91</v>
      </c>
      <c r="F341" t="s">
        <v>133</v>
      </c>
      <c r="G341" t="s">
        <v>13</v>
      </c>
      <c r="H341" t="s">
        <v>14</v>
      </c>
      <c r="I341" t="s">
        <v>27</v>
      </c>
      <c r="J341" t="s">
        <v>493</v>
      </c>
      <c r="K341">
        <v>14635.01</v>
      </c>
      <c r="L341">
        <v>0.16850003638262701</v>
      </c>
      <c r="M341">
        <v>2020</v>
      </c>
      <c r="N341" t="s">
        <v>1172</v>
      </c>
      <c r="O341">
        <v>4</v>
      </c>
      <c r="P341" t="s">
        <v>1215</v>
      </c>
    </row>
    <row r="342" spans="1:16" x14ac:dyDescent="0.3">
      <c r="A342" t="s">
        <v>151</v>
      </c>
      <c r="B342">
        <v>68802.13</v>
      </c>
      <c r="C342">
        <v>54635.77</v>
      </c>
      <c r="D342" s="1">
        <v>44089</v>
      </c>
      <c r="E342" t="s">
        <v>76</v>
      </c>
      <c r="F342" t="s">
        <v>30</v>
      </c>
      <c r="G342" t="s">
        <v>152</v>
      </c>
      <c r="H342" t="s">
        <v>197</v>
      </c>
      <c r="I342" t="s">
        <v>27</v>
      </c>
      <c r="J342" t="s">
        <v>494</v>
      </c>
      <c r="K342">
        <v>14166.36</v>
      </c>
      <c r="L342">
        <v>0.205900020827844</v>
      </c>
      <c r="M342">
        <v>2020</v>
      </c>
      <c r="N342" t="s">
        <v>1175</v>
      </c>
      <c r="O342">
        <v>9</v>
      </c>
      <c r="P342" t="s">
        <v>1216</v>
      </c>
    </row>
    <row r="343" spans="1:16" x14ac:dyDescent="0.3">
      <c r="A343" t="s">
        <v>10</v>
      </c>
      <c r="B343">
        <v>103726.57</v>
      </c>
      <c r="C343">
        <v>90231.74</v>
      </c>
      <c r="D343" s="1">
        <v>43972</v>
      </c>
      <c r="E343" t="s">
        <v>40</v>
      </c>
      <c r="F343" t="s">
        <v>174</v>
      </c>
      <c r="G343" t="s">
        <v>13</v>
      </c>
      <c r="H343" t="s">
        <v>110</v>
      </c>
      <c r="I343" t="s">
        <v>32</v>
      </c>
      <c r="J343" t="s">
        <v>495</v>
      </c>
      <c r="K343">
        <v>13494.83</v>
      </c>
      <c r="L343">
        <v>0.130100031264892</v>
      </c>
      <c r="M343">
        <v>2020</v>
      </c>
      <c r="N343" t="s">
        <v>1173</v>
      </c>
      <c r="O343">
        <v>5</v>
      </c>
      <c r="P343" t="s">
        <v>1215</v>
      </c>
    </row>
    <row r="344" spans="1:16" x14ac:dyDescent="0.3">
      <c r="A344" t="s">
        <v>17</v>
      </c>
      <c r="B344">
        <v>165262.34</v>
      </c>
      <c r="C344">
        <v>142621.4</v>
      </c>
      <c r="D344" s="1">
        <v>43970</v>
      </c>
      <c r="E344" t="s">
        <v>29</v>
      </c>
      <c r="F344" t="s">
        <v>97</v>
      </c>
      <c r="G344" t="s">
        <v>19</v>
      </c>
      <c r="H344" t="s">
        <v>20</v>
      </c>
      <c r="I344" t="s">
        <v>32</v>
      </c>
      <c r="J344" t="s">
        <v>496</v>
      </c>
      <c r="K344">
        <v>22640.94</v>
      </c>
      <c r="L344">
        <v>0.13699999649042799</v>
      </c>
      <c r="M344">
        <v>2020</v>
      </c>
      <c r="N344" t="s">
        <v>1173</v>
      </c>
      <c r="O344">
        <v>5</v>
      </c>
      <c r="P344" t="s">
        <v>1215</v>
      </c>
    </row>
    <row r="345" spans="1:16" x14ac:dyDescent="0.3">
      <c r="A345" t="s">
        <v>129</v>
      </c>
      <c r="B345">
        <v>72385.53</v>
      </c>
      <c r="C345">
        <v>60181.33</v>
      </c>
      <c r="D345" s="1">
        <v>43747</v>
      </c>
      <c r="E345" t="s">
        <v>40</v>
      </c>
      <c r="F345" t="s">
        <v>56</v>
      </c>
      <c r="G345" t="s">
        <v>130</v>
      </c>
      <c r="H345" t="s">
        <v>159</v>
      </c>
      <c r="I345" t="s">
        <v>27</v>
      </c>
      <c r="J345" t="s">
        <v>497</v>
      </c>
      <c r="K345">
        <v>12204.2</v>
      </c>
      <c r="L345">
        <v>0.16859999505425999</v>
      </c>
      <c r="M345">
        <v>2019</v>
      </c>
      <c r="N345" t="s">
        <v>1178</v>
      </c>
      <c r="O345">
        <v>10</v>
      </c>
      <c r="P345" t="s">
        <v>1216</v>
      </c>
    </row>
    <row r="346" spans="1:16" x14ac:dyDescent="0.3">
      <c r="A346" t="s">
        <v>10</v>
      </c>
      <c r="B346">
        <v>31627.37</v>
      </c>
      <c r="C346">
        <v>25662.45</v>
      </c>
      <c r="D346" s="1">
        <v>44070</v>
      </c>
      <c r="E346" t="s">
        <v>76</v>
      </c>
      <c r="F346" t="s">
        <v>222</v>
      </c>
      <c r="G346" t="s">
        <v>13</v>
      </c>
      <c r="H346" t="s">
        <v>110</v>
      </c>
      <c r="I346" t="s">
        <v>32</v>
      </c>
      <c r="J346" t="s">
        <v>498</v>
      </c>
      <c r="K346">
        <v>5964.92</v>
      </c>
      <c r="L346">
        <v>0.18859993733276001</v>
      </c>
      <c r="M346">
        <v>2020</v>
      </c>
      <c r="N346" t="s">
        <v>1171</v>
      </c>
      <c r="O346">
        <v>8</v>
      </c>
      <c r="P346" t="s">
        <v>1214</v>
      </c>
    </row>
    <row r="347" spans="1:16" x14ac:dyDescent="0.3">
      <c r="A347" t="s">
        <v>17</v>
      </c>
      <c r="B347">
        <v>232217.05</v>
      </c>
      <c r="C347">
        <v>191439.74</v>
      </c>
      <c r="D347" s="1">
        <v>43636</v>
      </c>
      <c r="E347" t="s">
        <v>76</v>
      </c>
      <c r="F347" t="s">
        <v>106</v>
      </c>
      <c r="G347" t="s">
        <v>19</v>
      </c>
      <c r="H347" t="s">
        <v>78</v>
      </c>
      <c r="I347" t="s">
        <v>32</v>
      </c>
      <c r="J347" t="s">
        <v>499</v>
      </c>
      <c r="K347">
        <v>40777.31</v>
      </c>
      <c r="L347">
        <v>0.17559998286086201</v>
      </c>
      <c r="M347">
        <v>2019</v>
      </c>
      <c r="N347" t="s">
        <v>1179</v>
      </c>
      <c r="O347">
        <v>6</v>
      </c>
      <c r="P347" t="s">
        <v>1214</v>
      </c>
    </row>
    <row r="348" spans="1:16" x14ac:dyDescent="0.3">
      <c r="A348" t="s">
        <v>17</v>
      </c>
      <c r="B348">
        <v>99319.33</v>
      </c>
      <c r="C348">
        <v>79127.710000000006</v>
      </c>
      <c r="D348" s="1">
        <v>43977</v>
      </c>
      <c r="E348" t="s">
        <v>11</v>
      </c>
      <c r="F348" t="s">
        <v>106</v>
      </c>
      <c r="G348" t="s">
        <v>19</v>
      </c>
      <c r="H348" t="s">
        <v>20</v>
      </c>
      <c r="I348" t="s">
        <v>27</v>
      </c>
      <c r="J348" t="s">
        <v>500</v>
      </c>
      <c r="K348">
        <v>20191.62</v>
      </c>
      <c r="L348">
        <v>0.203300002124461</v>
      </c>
      <c r="M348">
        <v>2020</v>
      </c>
      <c r="N348" t="s">
        <v>1173</v>
      </c>
      <c r="O348">
        <v>5</v>
      </c>
      <c r="P348" t="s">
        <v>1215</v>
      </c>
    </row>
    <row r="349" spans="1:16" x14ac:dyDescent="0.3">
      <c r="A349" t="s">
        <v>17</v>
      </c>
      <c r="B349">
        <v>125499.82</v>
      </c>
      <c r="C349">
        <v>100977.16</v>
      </c>
      <c r="D349" s="1">
        <v>43681</v>
      </c>
      <c r="E349" t="s">
        <v>76</v>
      </c>
      <c r="F349" t="s">
        <v>102</v>
      </c>
      <c r="G349" t="s">
        <v>19</v>
      </c>
      <c r="H349" t="s">
        <v>157</v>
      </c>
      <c r="I349" t="s">
        <v>27</v>
      </c>
      <c r="J349" t="s">
        <v>501</v>
      </c>
      <c r="K349">
        <v>24522.66</v>
      </c>
      <c r="L349">
        <v>0.195399961529825</v>
      </c>
      <c r="M349">
        <v>2019</v>
      </c>
      <c r="N349" t="s">
        <v>1171</v>
      </c>
      <c r="O349">
        <v>8</v>
      </c>
      <c r="P349" t="s">
        <v>1214</v>
      </c>
    </row>
    <row r="350" spans="1:16" x14ac:dyDescent="0.3">
      <c r="A350" t="s">
        <v>17</v>
      </c>
      <c r="B350">
        <v>66884.7</v>
      </c>
      <c r="C350">
        <v>58544.18</v>
      </c>
      <c r="D350" s="1">
        <v>43849</v>
      </c>
      <c r="E350" t="s">
        <v>51</v>
      </c>
      <c r="F350" t="s">
        <v>18</v>
      </c>
      <c r="G350" t="s">
        <v>19</v>
      </c>
      <c r="H350" t="s">
        <v>31</v>
      </c>
      <c r="I350" t="s">
        <v>27</v>
      </c>
      <c r="J350" t="s">
        <v>502</v>
      </c>
      <c r="K350">
        <v>8340.52</v>
      </c>
      <c r="L350">
        <v>0.12469996875219599</v>
      </c>
      <c r="M350">
        <v>2020</v>
      </c>
      <c r="N350" t="s">
        <v>1177</v>
      </c>
      <c r="O350">
        <v>1</v>
      </c>
      <c r="P350" t="s">
        <v>1217</v>
      </c>
    </row>
    <row r="351" spans="1:16" x14ac:dyDescent="0.3">
      <c r="A351" t="s">
        <v>10</v>
      </c>
      <c r="B351">
        <v>20226.11</v>
      </c>
      <c r="C351">
        <v>17408.61</v>
      </c>
      <c r="D351" s="1">
        <v>43519</v>
      </c>
      <c r="E351" t="s">
        <v>29</v>
      </c>
      <c r="F351" t="s">
        <v>244</v>
      </c>
      <c r="G351" t="s">
        <v>13</v>
      </c>
      <c r="H351" t="s">
        <v>110</v>
      </c>
      <c r="I351" t="s">
        <v>27</v>
      </c>
      <c r="J351" t="s">
        <v>503</v>
      </c>
      <c r="K351">
        <v>2817.5</v>
      </c>
      <c r="L351">
        <v>0.139300142241884</v>
      </c>
      <c r="M351">
        <v>2019</v>
      </c>
      <c r="N351" t="s">
        <v>1181</v>
      </c>
      <c r="O351">
        <v>2</v>
      </c>
      <c r="P351" t="s">
        <v>1217</v>
      </c>
    </row>
    <row r="352" spans="1:16" x14ac:dyDescent="0.3">
      <c r="A352" t="s">
        <v>10</v>
      </c>
      <c r="B352">
        <v>50618.21</v>
      </c>
      <c r="C352">
        <v>41835.949999999997</v>
      </c>
      <c r="D352" s="1">
        <v>43588</v>
      </c>
      <c r="E352" t="s">
        <v>76</v>
      </c>
      <c r="F352" t="s">
        <v>24</v>
      </c>
      <c r="G352" t="s">
        <v>13</v>
      </c>
      <c r="H352" t="s">
        <v>14</v>
      </c>
      <c r="I352" t="s">
        <v>27</v>
      </c>
      <c r="J352" t="s">
        <v>504</v>
      </c>
      <c r="K352">
        <v>8782.26</v>
      </c>
      <c r="L352">
        <v>0.17350001116199101</v>
      </c>
      <c r="M352">
        <v>2019</v>
      </c>
      <c r="N352" t="s">
        <v>1173</v>
      </c>
      <c r="O352">
        <v>5</v>
      </c>
      <c r="P352" t="s">
        <v>1215</v>
      </c>
    </row>
    <row r="353" spans="1:16" x14ac:dyDescent="0.3">
      <c r="A353" t="s">
        <v>10</v>
      </c>
      <c r="B353">
        <v>39313.39</v>
      </c>
      <c r="C353">
        <v>34273.410000000003</v>
      </c>
      <c r="D353" s="1">
        <v>44114</v>
      </c>
      <c r="E353" t="s">
        <v>76</v>
      </c>
      <c r="F353" t="s">
        <v>229</v>
      </c>
      <c r="G353" t="s">
        <v>13</v>
      </c>
      <c r="H353" t="s">
        <v>81</v>
      </c>
      <c r="I353" t="s">
        <v>32</v>
      </c>
      <c r="J353" t="s">
        <v>505</v>
      </c>
      <c r="K353">
        <v>5039.9799999999996</v>
      </c>
      <c r="L353">
        <v>0.12820008653540199</v>
      </c>
      <c r="M353">
        <v>2020</v>
      </c>
      <c r="N353" t="s">
        <v>1178</v>
      </c>
      <c r="O353">
        <v>10</v>
      </c>
      <c r="P353" t="s">
        <v>1216</v>
      </c>
    </row>
    <row r="354" spans="1:16" x14ac:dyDescent="0.3">
      <c r="A354" t="s">
        <v>34</v>
      </c>
      <c r="B354">
        <v>146055.04999999999</v>
      </c>
      <c r="C354">
        <v>117822.61</v>
      </c>
      <c r="D354" s="1">
        <v>43656</v>
      </c>
      <c r="E354" t="s">
        <v>40</v>
      </c>
      <c r="F354" t="s">
        <v>302</v>
      </c>
      <c r="G354" t="s">
        <v>36</v>
      </c>
      <c r="H354" t="s">
        <v>104</v>
      </c>
      <c r="I354" t="s">
        <v>15</v>
      </c>
      <c r="J354" t="s">
        <v>506</v>
      </c>
      <c r="K354">
        <v>28232.44</v>
      </c>
      <c r="L354">
        <v>0.19329999202355599</v>
      </c>
      <c r="M354">
        <v>2019</v>
      </c>
      <c r="N354" t="s">
        <v>1174</v>
      </c>
      <c r="O354">
        <v>7</v>
      </c>
      <c r="P354" t="s">
        <v>1214</v>
      </c>
    </row>
    <row r="355" spans="1:16" x14ac:dyDescent="0.3">
      <c r="A355" t="s">
        <v>10</v>
      </c>
      <c r="B355">
        <v>53093.47</v>
      </c>
      <c r="C355">
        <v>42533.18</v>
      </c>
      <c r="D355" s="1">
        <v>44129</v>
      </c>
      <c r="E355" t="s">
        <v>40</v>
      </c>
      <c r="F355" t="s">
        <v>164</v>
      </c>
      <c r="G355" t="s">
        <v>13</v>
      </c>
      <c r="H355" t="s">
        <v>81</v>
      </c>
      <c r="I355" t="s">
        <v>27</v>
      </c>
      <c r="J355" t="s">
        <v>507</v>
      </c>
      <c r="K355">
        <v>10560.29</v>
      </c>
      <c r="L355">
        <v>0.19889997771854101</v>
      </c>
      <c r="M355">
        <v>2020</v>
      </c>
      <c r="N355" t="s">
        <v>1178</v>
      </c>
      <c r="O355">
        <v>10</v>
      </c>
      <c r="P355" t="s">
        <v>1216</v>
      </c>
    </row>
    <row r="356" spans="1:16" x14ac:dyDescent="0.3">
      <c r="A356" t="s">
        <v>17</v>
      </c>
      <c r="B356">
        <v>176190.16</v>
      </c>
      <c r="C356">
        <v>142273.54999999999</v>
      </c>
      <c r="D356" s="1">
        <v>43505</v>
      </c>
      <c r="E356" t="s">
        <v>23</v>
      </c>
      <c r="F356" t="s">
        <v>56</v>
      </c>
      <c r="G356" t="s">
        <v>19</v>
      </c>
      <c r="H356" t="s">
        <v>78</v>
      </c>
      <c r="I356" t="s">
        <v>27</v>
      </c>
      <c r="J356" t="s">
        <v>508</v>
      </c>
      <c r="K356">
        <v>33916.61</v>
      </c>
      <c r="L356">
        <v>0.19250002383788101</v>
      </c>
      <c r="M356">
        <v>2019</v>
      </c>
      <c r="N356" t="s">
        <v>1181</v>
      </c>
      <c r="O356">
        <v>2</v>
      </c>
      <c r="P356" t="s">
        <v>1217</v>
      </c>
    </row>
    <row r="357" spans="1:16" x14ac:dyDescent="0.3">
      <c r="A357" t="s">
        <v>17</v>
      </c>
      <c r="B357">
        <v>64827.8</v>
      </c>
      <c r="C357">
        <v>56043.63</v>
      </c>
      <c r="D357" s="1">
        <v>43485</v>
      </c>
      <c r="E357" t="s">
        <v>23</v>
      </c>
      <c r="F357" t="s">
        <v>335</v>
      </c>
      <c r="G357" t="s">
        <v>19</v>
      </c>
      <c r="H357" t="s">
        <v>78</v>
      </c>
      <c r="I357" t="s">
        <v>27</v>
      </c>
      <c r="J357" t="s">
        <v>509</v>
      </c>
      <c r="K357">
        <v>8784.17</v>
      </c>
      <c r="L357">
        <v>0.135500047818991</v>
      </c>
      <c r="M357">
        <v>2019</v>
      </c>
      <c r="N357" t="s">
        <v>1177</v>
      </c>
      <c r="O357">
        <v>1</v>
      </c>
      <c r="P357" t="s">
        <v>1217</v>
      </c>
    </row>
    <row r="358" spans="1:16" x14ac:dyDescent="0.3">
      <c r="A358" t="s">
        <v>143</v>
      </c>
      <c r="B358">
        <v>123953.65</v>
      </c>
      <c r="C358">
        <v>101939.48</v>
      </c>
      <c r="D358" s="1">
        <v>43682</v>
      </c>
      <c r="E358" t="s">
        <v>76</v>
      </c>
      <c r="F358" t="s">
        <v>89</v>
      </c>
      <c r="G358" t="s">
        <v>145</v>
      </c>
      <c r="H358" t="s">
        <v>146</v>
      </c>
      <c r="I358" t="s">
        <v>27</v>
      </c>
      <c r="J358" t="s">
        <v>510</v>
      </c>
      <c r="K358">
        <v>22014.17</v>
      </c>
      <c r="L358">
        <v>0.17760001419885599</v>
      </c>
      <c r="M358">
        <v>2019</v>
      </c>
      <c r="N358" t="s">
        <v>1171</v>
      </c>
      <c r="O358">
        <v>8</v>
      </c>
      <c r="P358" t="s">
        <v>1214</v>
      </c>
    </row>
    <row r="359" spans="1:16" x14ac:dyDescent="0.3">
      <c r="A359" t="s">
        <v>22</v>
      </c>
      <c r="B359">
        <v>19622.59</v>
      </c>
      <c r="C359">
        <v>17148.18</v>
      </c>
      <c r="D359" s="1">
        <v>43985</v>
      </c>
      <c r="E359" t="s">
        <v>40</v>
      </c>
      <c r="F359" t="s">
        <v>62</v>
      </c>
      <c r="G359" t="s">
        <v>25</v>
      </c>
      <c r="H359" t="s">
        <v>52</v>
      </c>
      <c r="I359" t="s">
        <v>27</v>
      </c>
      <c r="J359" t="s">
        <v>511</v>
      </c>
      <c r="K359">
        <v>2474.41</v>
      </c>
      <c r="L359">
        <v>0.126100071397303</v>
      </c>
      <c r="M359">
        <v>2020</v>
      </c>
      <c r="N359" t="s">
        <v>1179</v>
      </c>
      <c r="O359">
        <v>6</v>
      </c>
      <c r="P359" t="s">
        <v>1214</v>
      </c>
    </row>
    <row r="360" spans="1:16" x14ac:dyDescent="0.3">
      <c r="A360" t="s">
        <v>10</v>
      </c>
      <c r="B360">
        <v>146540.75</v>
      </c>
      <c r="C360">
        <v>120822.85</v>
      </c>
      <c r="D360" s="1">
        <v>43585</v>
      </c>
      <c r="E360" t="s">
        <v>51</v>
      </c>
      <c r="F360" t="s">
        <v>135</v>
      </c>
      <c r="G360" t="s">
        <v>13</v>
      </c>
      <c r="H360" t="s">
        <v>81</v>
      </c>
      <c r="I360" t="s">
        <v>27</v>
      </c>
      <c r="J360" t="s">
        <v>512</v>
      </c>
      <c r="K360">
        <v>25717.9</v>
      </c>
      <c r="L360">
        <v>0.17549998891093399</v>
      </c>
      <c r="M360">
        <v>2019</v>
      </c>
      <c r="N360" t="s">
        <v>1172</v>
      </c>
      <c r="O360">
        <v>4</v>
      </c>
      <c r="P360" t="s">
        <v>1215</v>
      </c>
    </row>
    <row r="361" spans="1:16" x14ac:dyDescent="0.3">
      <c r="A361" t="s">
        <v>513</v>
      </c>
      <c r="B361">
        <v>139075.59</v>
      </c>
      <c r="C361">
        <v>113708.2</v>
      </c>
      <c r="D361" s="1">
        <v>44181</v>
      </c>
      <c r="E361" t="s">
        <v>11</v>
      </c>
      <c r="F361" t="s">
        <v>300</v>
      </c>
      <c r="G361" t="s">
        <v>514</v>
      </c>
      <c r="H361" t="s">
        <v>515</v>
      </c>
      <c r="I361" t="s">
        <v>27</v>
      </c>
      <c r="J361" t="s">
        <v>516</v>
      </c>
      <c r="K361">
        <v>25367.39</v>
      </c>
      <c r="L361">
        <v>0.18240001714175699</v>
      </c>
      <c r="M361">
        <v>2020</v>
      </c>
      <c r="N361" t="s">
        <v>1182</v>
      </c>
      <c r="O361">
        <v>12</v>
      </c>
      <c r="P361" t="s">
        <v>1217</v>
      </c>
    </row>
    <row r="362" spans="1:16" x14ac:dyDescent="0.3">
      <c r="A362" t="s">
        <v>17</v>
      </c>
      <c r="B362">
        <v>131864.04</v>
      </c>
      <c r="C362">
        <v>110277.9</v>
      </c>
      <c r="D362" s="1">
        <v>43712</v>
      </c>
      <c r="E362" t="s">
        <v>23</v>
      </c>
      <c r="F362" t="s">
        <v>300</v>
      </c>
      <c r="G362" t="s">
        <v>19</v>
      </c>
      <c r="H362" t="s">
        <v>157</v>
      </c>
      <c r="I362" t="s">
        <v>27</v>
      </c>
      <c r="J362" t="s">
        <v>517</v>
      </c>
      <c r="K362">
        <v>21586.14</v>
      </c>
      <c r="L362">
        <v>0.16369997461021199</v>
      </c>
      <c r="M362">
        <v>2019</v>
      </c>
      <c r="N362" t="s">
        <v>1175</v>
      </c>
      <c r="O362">
        <v>9</v>
      </c>
      <c r="P362" t="s">
        <v>1216</v>
      </c>
    </row>
    <row r="363" spans="1:16" x14ac:dyDescent="0.3">
      <c r="A363" t="s">
        <v>129</v>
      </c>
      <c r="B363">
        <v>130251.55</v>
      </c>
      <c r="C363">
        <v>105386.53</v>
      </c>
      <c r="D363" s="1">
        <v>43593</v>
      </c>
      <c r="E363" t="s">
        <v>76</v>
      </c>
      <c r="F363" t="s">
        <v>56</v>
      </c>
      <c r="G363" t="s">
        <v>130</v>
      </c>
      <c r="H363" t="s">
        <v>131</v>
      </c>
      <c r="I363" t="s">
        <v>27</v>
      </c>
      <c r="J363" t="s">
        <v>518</v>
      </c>
      <c r="K363">
        <v>24865.02</v>
      </c>
      <c r="L363">
        <v>0.190899993128681</v>
      </c>
      <c r="M363">
        <v>2019</v>
      </c>
      <c r="N363" t="s">
        <v>1173</v>
      </c>
      <c r="O363">
        <v>5</v>
      </c>
      <c r="P363" t="s">
        <v>1215</v>
      </c>
    </row>
    <row r="364" spans="1:16" x14ac:dyDescent="0.3">
      <c r="A364" t="s">
        <v>22</v>
      </c>
      <c r="B364">
        <v>38930.160000000003</v>
      </c>
      <c r="C364">
        <v>32837.589999999997</v>
      </c>
      <c r="D364" s="1">
        <v>44153</v>
      </c>
      <c r="E364" t="s">
        <v>181</v>
      </c>
      <c r="F364" t="s">
        <v>102</v>
      </c>
      <c r="G364" t="s">
        <v>25</v>
      </c>
      <c r="H364" t="s">
        <v>87</v>
      </c>
      <c r="I364" t="s">
        <v>27</v>
      </c>
      <c r="J364" t="s">
        <v>519</v>
      </c>
      <c r="K364">
        <v>6092.57</v>
      </c>
      <c r="L364">
        <v>0.15649999897251901</v>
      </c>
      <c r="M364">
        <v>2020</v>
      </c>
      <c r="N364" t="s">
        <v>1180</v>
      </c>
      <c r="O364">
        <v>11</v>
      </c>
      <c r="P364" t="s">
        <v>1216</v>
      </c>
    </row>
    <row r="365" spans="1:16" x14ac:dyDescent="0.3">
      <c r="A365" t="s">
        <v>17</v>
      </c>
      <c r="B365">
        <v>219911.81</v>
      </c>
      <c r="C365">
        <v>179426.05</v>
      </c>
      <c r="D365" s="1">
        <v>43592</v>
      </c>
      <c r="E365" t="s">
        <v>40</v>
      </c>
      <c r="F365" t="s">
        <v>195</v>
      </c>
      <c r="G365" t="s">
        <v>19</v>
      </c>
      <c r="H365" t="s">
        <v>31</v>
      </c>
      <c r="I365" t="s">
        <v>27</v>
      </c>
      <c r="J365" t="s">
        <v>520</v>
      </c>
      <c r="K365">
        <v>40485.760000000002</v>
      </c>
      <c r="L365">
        <v>0.184099980805942</v>
      </c>
      <c r="M365">
        <v>2019</v>
      </c>
      <c r="N365" t="s">
        <v>1173</v>
      </c>
      <c r="O365">
        <v>5</v>
      </c>
      <c r="P365" t="s">
        <v>1215</v>
      </c>
    </row>
    <row r="366" spans="1:16" x14ac:dyDescent="0.3">
      <c r="A366" t="s">
        <v>34</v>
      </c>
      <c r="B366">
        <v>49930.87</v>
      </c>
      <c r="C366">
        <v>40174.379999999997</v>
      </c>
      <c r="D366" s="1">
        <v>43882</v>
      </c>
      <c r="E366" t="s">
        <v>181</v>
      </c>
      <c r="F366" t="s">
        <v>41</v>
      </c>
      <c r="G366" t="s">
        <v>36</v>
      </c>
      <c r="H366" t="s">
        <v>37</v>
      </c>
      <c r="I366" t="s">
        <v>27</v>
      </c>
      <c r="J366" t="s">
        <v>521</v>
      </c>
      <c r="K366">
        <v>9756.49</v>
      </c>
      <c r="L366">
        <v>0.19539995998467499</v>
      </c>
      <c r="M366">
        <v>2020</v>
      </c>
      <c r="N366" t="s">
        <v>1181</v>
      </c>
      <c r="O366">
        <v>2</v>
      </c>
      <c r="P366" t="s">
        <v>1217</v>
      </c>
    </row>
    <row r="367" spans="1:16" x14ac:dyDescent="0.3">
      <c r="A367" t="s">
        <v>22</v>
      </c>
      <c r="B367">
        <v>57859.08</v>
      </c>
      <c r="C367">
        <v>47756.88</v>
      </c>
      <c r="D367" s="1">
        <v>43689</v>
      </c>
      <c r="E367" t="s">
        <v>91</v>
      </c>
      <c r="F367" t="s">
        <v>106</v>
      </c>
      <c r="G367" t="s">
        <v>25</v>
      </c>
      <c r="H367" t="s">
        <v>52</v>
      </c>
      <c r="I367" t="s">
        <v>32</v>
      </c>
      <c r="J367" t="s">
        <v>522</v>
      </c>
      <c r="K367">
        <v>10102.200000000001</v>
      </c>
      <c r="L367">
        <v>0.17460008005657901</v>
      </c>
      <c r="M367">
        <v>2019</v>
      </c>
      <c r="N367" t="s">
        <v>1171</v>
      </c>
      <c r="O367">
        <v>8</v>
      </c>
      <c r="P367" t="s">
        <v>1214</v>
      </c>
    </row>
    <row r="368" spans="1:16" x14ac:dyDescent="0.3">
      <c r="A368" t="s">
        <v>169</v>
      </c>
      <c r="B368">
        <v>26745.94</v>
      </c>
      <c r="C368">
        <v>22600.32</v>
      </c>
      <c r="D368" s="1">
        <v>43749</v>
      </c>
      <c r="E368" t="s">
        <v>23</v>
      </c>
      <c r="F368" t="s">
        <v>244</v>
      </c>
      <c r="G368" t="s">
        <v>171</v>
      </c>
      <c r="H368" t="s">
        <v>172</v>
      </c>
      <c r="I368" t="s">
        <v>27</v>
      </c>
      <c r="J368" t="s">
        <v>523</v>
      </c>
      <c r="K368">
        <v>4145.62</v>
      </c>
      <c r="L368">
        <v>0.15499997382780301</v>
      </c>
      <c r="M368">
        <v>2019</v>
      </c>
      <c r="N368" t="s">
        <v>1178</v>
      </c>
      <c r="O368">
        <v>10</v>
      </c>
      <c r="P368" t="s">
        <v>1216</v>
      </c>
    </row>
    <row r="369" spans="1:16" x14ac:dyDescent="0.3">
      <c r="A369" t="s">
        <v>143</v>
      </c>
      <c r="B369">
        <v>87205.01</v>
      </c>
      <c r="C369">
        <v>69171.009999999995</v>
      </c>
      <c r="D369" s="1">
        <v>44000</v>
      </c>
      <c r="E369" t="s">
        <v>11</v>
      </c>
      <c r="F369" t="s">
        <v>56</v>
      </c>
      <c r="G369" t="s">
        <v>145</v>
      </c>
      <c r="H369" t="s">
        <v>262</v>
      </c>
      <c r="I369" t="s">
        <v>15</v>
      </c>
      <c r="J369" t="s">
        <v>524</v>
      </c>
      <c r="K369">
        <v>18034</v>
      </c>
      <c r="L369">
        <v>0.20680004508915301</v>
      </c>
      <c r="M369">
        <v>2020</v>
      </c>
      <c r="N369" t="s">
        <v>1179</v>
      </c>
      <c r="O369">
        <v>6</v>
      </c>
      <c r="P369" t="s">
        <v>1214</v>
      </c>
    </row>
    <row r="370" spans="1:16" x14ac:dyDescent="0.3">
      <c r="A370" t="s">
        <v>22</v>
      </c>
      <c r="B370">
        <v>216863.04</v>
      </c>
      <c r="C370">
        <v>175355.45</v>
      </c>
      <c r="D370" s="1">
        <v>43670</v>
      </c>
      <c r="E370" t="s">
        <v>76</v>
      </c>
      <c r="F370" t="s">
        <v>92</v>
      </c>
      <c r="G370" t="s">
        <v>25</v>
      </c>
      <c r="H370" t="s">
        <v>26</v>
      </c>
      <c r="I370" t="s">
        <v>15</v>
      </c>
      <c r="J370" t="s">
        <v>525</v>
      </c>
      <c r="K370">
        <v>41507.589999999997</v>
      </c>
      <c r="L370">
        <v>0.191400019108835</v>
      </c>
      <c r="M370">
        <v>2019</v>
      </c>
      <c r="N370" t="s">
        <v>1174</v>
      </c>
      <c r="O370">
        <v>7</v>
      </c>
      <c r="P370" t="s">
        <v>1214</v>
      </c>
    </row>
    <row r="371" spans="1:16" x14ac:dyDescent="0.3">
      <c r="A371" t="s">
        <v>22</v>
      </c>
      <c r="B371">
        <v>154858</v>
      </c>
      <c r="C371">
        <v>135376.85999999999</v>
      </c>
      <c r="D371" s="1">
        <v>44034</v>
      </c>
      <c r="E371" t="s">
        <v>11</v>
      </c>
      <c r="F371" t="s">
        <v>92</v>
      </c>
      <c r="G371" t="s">
        <v>25</v>
      </c>
      <c r="H371" t="s">
        <v>167</v>
      </c>
      <c r="I371" t="s">
        <v>27</v>
      </c>
      <c r="J371" t="s">
        <v>526</v>
      </c>
      <c r="K371">
        <v>19481.14</v>
      </c>
      <c r="L371">
        <v>0.12580002324710399</v>
      </c>
      <c r="M371">
        <v>2020</v>
      </c>
      <c r="N371" t="s">
        <v>1174</v>
      </c>
      <c r="O371">
        <v>7</v>
      </c>
      <c r="P371" t="s">
        <v>1214</v>
      </c>
    </row>
    <row r="372" spans="1:16" x14ac:dyDescent="0.3">
      <c r="A372" t="s">
        <v>151</v>
      </c>
      <c r="B372">
        <v>167301.51999999999</v>
      </c>
      <c r="C372">
        <v>147074.76999999999</v>
      </c>
      <c r="D372" s="1">
        <v>43621</v>
      </c>
      <c r="E372" t="s">
        <v>181</v>
      </c>
      <c r="F372" t="s">
        <v>222</v>
      </c>
      <c r="G372" t="s">
        <v>152</v>
      </c>
      <c r="H372" t="s">
        <v>197</v>
      </c>
      <c r="I372" t="s">
        <v>27</v>
      </c>
      <c r="J372" t="s">
        <v>527</v>
      </c>
      <c r="K372">
        <v>20226.75</v>
      </c>
      <c r="L372">
        <v>0.12089997747778999</v>
      </c>
      <c r="M372">
        <v>2019</v>
      </c>
      <c r="N372" t="s">
        <v>1179</v>
      </c>
      <c r="O372">
        <v>6</v>
      </c>
      <c r="P372" t="s">
        <v>1214</v>
      </c>
    </row>
    <row r="373" spans="1:16" x14ac:dyDescent="0.3">
      <c r="A373" t="s">
        <v>17</v>
      </c>
      <c r="B373">
        <v>38750.53</v>
      </c>
      <c r="C373">
        <v>31298.799999999999</v>
      </c>
      <c r="D373" s="1">
        <v>43474</v>
      </c>
      <c r="E373" t="s">
        <v>181</v>
      </c>
      <c r="F373" t="s">
        <v>56</v>
      </c>
      <c r="G373" t="s">
        <v>19</v>
      </c>
      <c r="H373" t="s">
        <v>20</v>
      </c>
      <c r="I373" t="s">
        <v>27</v>
      </c>
      <c r="J373" t="s">
        <v>528</v>
      </c>
      <c r="K373">
        <v>7451.73</v>
      </c>
      <c r="L373">
        <v>0.19230007950858999</v>
      </c>
      <c r="M373">
        <v>2019</v>
      </c>
      <c r="N373" t="s">
        <v>1177</v>
      </c>
      <c r="O373">
        <v>1</v>
      </c>
      <c r="P373" t="s">
        <v>1217</v>
      </c>
    </row>
    <row r="374" spans="1:16" x14ac:dyDescent="0.3">
      <c r="A374" t="s">
        <v>129</v>
      </c>
      <c r="B374">
        <v>145809.65</v>
      </c>
      <c r="C374">
        <v>123136.25</v>
      </c>
      <c r="D374" s="1">
        <v>43676</v>
      </c>
      <c r="E374" t="s">
        <v>23</v>
      </c>
      <c r="F374" t="s">
        <v>67</v>
      </c>
      <c r="G374" t="s">
        <v>130</v>
      </c>
      <c r="H374" t="s">
        <v>131</v>
      </c>
      <c r="I374" t="s">
        <v>27</v>
      </c>
      <c r="J374" t="s">
        <v>529</v>
      </c>
      <c r="K374">
        <v>22673.4</v>
      </c>
      <c r="L374">
        <v>0.155499996056502</v>
      </c>
      <c r="M374">
        <v>2019</v>
      </c>
      <c r="N374" t="s">
        <v>1174</v>
      </c>
      <c r="O374">
        <v>7</v>
      </c>
      <c r="P374" t="s">
        <v>1214</v>
      </c>
    </row>
    <row r="375" spans="1:16" x14ac:dyDescent="0.3">
      <c r="A375" t="s">
        <v>54</v>
      </c>
      <c r="B375">
        <v>161823.46</v>
      </c>
      <c r="C375">
        <v>130494.44</v>
      </c>
      <c r="D375" s="1">
        <v>44032</v>
      </c>
      <c r="E375" t="s">
        <v>40</v>
      </c>
      <c r="F375" t="s">
        <v>74</v>
      </c>
      <c r="G375" t="s">
        <v>57</v>
      </c>
      <c r="H375" t="s">
        <v>58</v>
      </c>
      <c r="I375" t="s">
        <v>27</v>
      </c>
      <c r="J375" t="s">
        <v>530</v>
      </c>
      <c r="K375">
        <v>31329.02</v>
      </c>
      <c r="L375">
        <v>0.193599988530711</v>
      </c>
      <c r="M375">
        <v>2020</v>
      </c>
      <c r="N375" t="s">
        <v>1174</v>
      </c>
      <c r="O375">
        <v>7</v>
      </c>
      <c r="P375" t="s">
        <v>1214</v>
      </c>
    </row>
    <row r="376" spans="1:16" x14ac:dyDescent="0.3">
      <c r="A376" t="s">
        <v>66</v>
      </c>
      <c r="B376">
        <v>175332.04</v>
      </c>
      <c r="C376">
        <v>144999.6</v>
      </c>
      <c r="D376" s="1">
        <v>44098</v>
      </c>
      <c r="E376" t="s">
        <v>55</v>
      </c>
      <c r="F376" t="s">
        <v>24</v>
      </c>
      <c r="G376" t="s">
        <v>68</v>
      </c>
      <c r="H376" t="s">
        <v>69</v>
      </c>
      <c r="I376" t="s">
        <v>27</v>
      </c>
      <c r="J376" t="s">
        <v>531</v>
      </c>
      <c r="K376">
        <v>30332.44</v>
      </c>
      <c r="L376">
        <v>0.17299998334588501</v>
      </c>
      <c r="M376">
        <v>2020</v>
      </c>
      <c r="N376" t="s">
        <v>1175</v>
      </c>
      <c r="O376">
        <v>9</v>
      </c>
      <c r="P376" t="s">
        <v>1216</v>
      </c>
    </row>
    <row r="377" spans="1:16" x14ac:dyDescent="0.3">
      <c r="A377" t="s">
        <v>10</v>
      </c>
      <c r="B377">
        <v>97148.34</v>
      </c>
      <c r="C377">
        <v>77806.11</v>
      </c>
      <c r="D377" s="1">
        <v>43950</v>
      </c>
      <c r="E377" t="s">
        <v>91</v>
      </c>
      <c r="F377" t="s">
        <v>45</v>
      </c>
      <c r="G377" t="s">
        <v>13</v>
      </c>
      <c r="H377" t="s">
        <v>14</v>
      </c>
      <c r="I377" t="s">
        <v>27</v>
      </c>
      <c r="J377" t="s">
        <v>532</v>
      </c>
      <c r="K377">
        <v>19342.23</v>
      </c>
      <c r="L377">
        <v>0.19909995374084599</v>
      </c>
      <c r="M377">
        <v>2020</v>
      </c>
      <c r="N377" t="s">
        <v>1172</v>
      </c>
      <c r="O377">
        <v>4</v>
      </c>
      <c r="P377" t="s">
        <v>1215</v>
      </c>
    </row>
    <row r="378" spans="1:16" x14ac:dyDescent="0.3">
      <c r="A378" t="s">
        <v>10</v>
      </c>
      <c r="B378">
        <v>146226.35999999999</v>
      </c>
      <c r="C378">
        <v>117916.94</v>
      </c>
      <c r="D378" s="1">
        <v>44122</v>
      </c>
      <c r="E378" t="s">
        <v>51</v>
      </c>
      <c r="F378" t="s">
        <v>400</v>
      </c>
      <c r="G378" t="s">
        <v>13</v>
      </c>
      <c r="H378" t="s">
        <v>46</v>
      </c>
      <c r="I378" t="s">
        <v>27</v>
      </c>
      <c r="J378" t="s">
        <v>533</v>
      </c>
      <c r="K378">
        <v>28309.42</v>
      </c>
      <c r="L378">
        <v>0.193599977459604</v>
      </c>
      <c r="M378">
        <v>2020</v>
      </c>
      <c r="N378" t="s">
        <v>1178</v>
      </c>
      <c r="O378">
        <v>10</v>
      </c>
      <c r="P378" t="s">
        <v>1216</v>
      </c>
    </row>
    <row r="379" spans="1:16" x14ac:dyDescent="0.3">
      <c r="A379" t="s">
        <v>22</v>
      </c>
      <c r="B379">
        <v>139200.81</v>
      </c>
      <c r="C379">
        <v>120172.06</v>
      </c>
      <c r="D379" s="1">
        <v>43700</v>
      </c>
      <c r="E379" t="s">
        <v>11</v>
      </c>
      <c r="F379" t="s">
        <v>56</v>
      </c>
      <c r="G379" t="s">
        <v>25</v>
      </c>
      <c r="H379" t="s">
        <v>87</v>
      </c>
      <c r="I379" t="s">
        <v>27</v>
      </c>
      <c r="J379" t="s">
        <v>534</v>
      </c>
      <c r="K379">
        <v>19028.75</v>
      </c>
      <c r="L379">
        <v>0.136699994777329</v>
      </c>
      <c r="M379">
        <v>2019</v>
      </c>
      <c r="N379" t="s">
        <v>1171</v>
      </c>
      <c r="O379">
        <v>8</v>
      </c>
      <c r="P379" t="s">
        <v>1214</v>
      </c>
    </row>
    <row r="380" spans="1:16" x14ac:dyDescent="0.3">
      <c r="A380" t="s">
        <v>143</v>
      </c>
      <c r="B380">
        <v>84900.24</v>
      </c>
      <c r="C380">
        <v>73701.899999999994</v>
      </c>
      <c r="D380" s="1">
        <v>44026</v>
      </c>
      <c r="E380" t="s">
        <v>40</v>
      </c>
      <c r="F380" t="s">
        <v>400</v>
      </c>
      <c r="G380" t="s">
        <v>145</v>
      </c>
      <c r="H380" t="s">
        <v>146</v>
      </c>
      <c r="I380" t="s">
        <v>27</v>
      </c>
      <c r="J380" t="s">
        <v>535</v>
      </c>
      <c r="K380">
        <v>11198.34</v>
      </c>
      <c r="L380">
        <v>0.13189998049475499</v>
      </c>
      <c r="M380">
        <v>2020</v>
      </c>
      <c r="N380" t="s">
        <v>1174</v>
      </c>
      <c r="O380">
        <v>7</v>
      </c>
      <c r="P380" t="s">
        <v>1214</v>
      </c>
    </row>
    <row r="381" spans="1:16" x14ac:dyDescent="0.3">
      <c r="A381" t="s">
        <v>10</v>
      </c>
      <c r="B381">
        <v>138443.23000000001</v>
      </c>
      <c r="C381">
        <v>115101.7</v>
      </c>
      <c r="D381" s="1">
        <v>43630</v>
      </c>
      <c r="E381" t="s">
        <v>40</v>
      </c>
      <c r="F381" t="s">
        <v>170</v>
      </c>
      <c r="G381" t="s">
        <v>13</v>
      </c>
      <c r="H381" t="s">
        <v>46</v>
      </c>
      <c r="I381" t="s">
        <v>32</v>
      </c>
      <c r="J381" t="s">
        <v>536</v>
      </c>
      <c r="K381">
        <v>23341.53</v>
      </c>
      <c r="L381">
        <v>0.16860001027135799</v>
      </c>
      <c r="M381">
        <v>2019</v>
      </c>
      <c r="N381" t="s">
        <v>1179</v>
      </c>
      <c r="O381">
        <v>6</v>
      </c>
      <c r="P381" t="s">
        <v>1214</v>
      </c>
    </row>
    <row r="382" spans="1:16" x14ac:dyDescent="0.3">
      <c r="A382" t="s">
        <v>216</v>
      </c>
      <c r="B382">
        <v>62708.6</v>
      </c>
      <c r="C382">
        <v>51414.78</v>
      </c>
      <c r="D382" s="1">
        <v>43706</v>
      </c>
      <c r="E382" t="s">
        <v>51</v>
      </c>
      <c r="F382" t="s">
        <v>71</v>
      </c>
      <c r="G382" t="s">
        <v>217</v>
      </c>
      <c r="H382" t="s">
        <v>218</v>
      </c>
      <c r="I382" t="s">
        <v>27</v>
      </c>
      <c r="J382" t="s">
        <v>537</v>
      </c>
      <c r="K382">
        <v>11293.82</v>
      </c>
      <c r="L382">
        <v>0.180100018179325</v>
      </c>
      <c r="M382">
        <v>2019</v>
      </c>
      <c r="N382" t="s">
        <v>1171</v>
      </c>
      <c r="O382">
        <v>8</v>
      </c>
      <c r="P382" t="s">
        <v>1214</v>
      </c>
    </row>
    <row r="383" spans="1:16" x14ac:dyDescent="0.3">
      <c r="A383" t="s">
        <v>22</v>
      </c>
      <c r="B383">
        <v>134807.18</v>
      </c>
      <c r="C383">
        <v>108047.95</v>
      </c>
      <c r="D383" s="1">
        <v>44194</v>
      </c>
      <c r="E383" t="s">
        <v>76</v>
      </c>
      <c r="F383" t="s">
        <v>109</v>
      </c>
      <c r="G383" t="s">
        <v>25</v>
      </c>
      <c r="H383" t="s">
        <v>26</v>
      </c>
      <c r="I383" t="s">
        <v>27</v>
      </c>
      <c r="J383" t="s">
        <v>538</v>
      </c>
      <c r="K383">
        <v>26759.23</v>
      </c>
      <c r="L383">
        <v>0.19850003538387201</v>
      </c>
      <c r="M383">
        <v>2020</v>
      </c>
      <c r="N383" t="s">
        <v>1182</v>
      </c>
      <c r="O383">
        <v>12</v>
      </c>
      <c r="P383" t="s">
        <v>1217</v>
      </c>
    </row>
    <row r="384" spans="1:16" x14ac:dyDescent="0.3">
      <c r="A384" t="s">
        <v>22</v>
      </c>
      <c r="B384">
        <v>108689.45</v>
      </c>
      <c r="C384">
        <v>91223.06</v>
      </c>
      <c r="D384" s="1">
        <v>43719</v>
      </c>
      <c r="E384" t="s">
        <v>23</v>
      </c>
      <c r="F384" t="s">
        <v>373</v>
      </c>
      <c r="G384" t="s">
        <v>25</v>
      </c>
      <c r="H384" t="s">
        <v>87</v>
      </c>
      <c r="I384" t="s">
        <v>32</v>
      </c>
      <c r="J384" t="s">
        <v>539</v>
      </c>
      <c r="K384">
        <v>17466.39</v>
      </c>
      <c r="L384">
        <v>0.160699957539577</v>
      </c>
      <c r="M384">
        <v>2019</v>
      </c>
      <c r="N384" t="s">
        <v>1175</v>
      </c>
      <c r="O384">
        <v>9</v>
      </c>
      <c r="P384" t="s">
        <v>1216</v>
      </c>
    </row>
    <row r="385" spans="1:16" x14ac:dyDescent="0.3">
      <c r="A385" t="s">
        <v>34</v>
      </c>
      <c r="B385">
        <v>123353.1971</v>
      </c>
      <c r="C385">
        <v>52811.83</v>
      </c>
      <c r="D385" s="1">
        <v>43519</v>
      </c>
      <c r="E385" t="s">
        <v>51</v>
      </c>
      <c r="F385" t="s">
        <v>335</v>
      </c>
      <c r="G385" t="s">
        <v>36</v>
      </c>
      <c r="H385" t="s">
        <v>104</v>
      </c>
      <c r="I385" t="s">
        <v>27</v>
      </c>
      <c r="J385" t="s">
        <v>540</v>
      </c>
      <c r="K385">
        <v>70541.367100000003</v>
      </c>
      <c r="L385">
        <v>0.57186492736636196</v>
      </c>
      <c r="M385">
        <v>2019</v>
      </c>
      <c r="N385" t="s">
        <v>1181</v>
      </c>
      <c r="O385">
        <v>2</v>
      </c>
      <c r="P385" t="s">
        <v>1217</v>
      </c>
    </row>
    <row r="386" spans="1:16" x14ac:dyDescent="0.3">
      <c r="A386" t="s">
        <v>22</v>
      </c>
      <c r="B386">
        <v>111551.96</v>
      </c>
      <c r="C386">
        <v>89420.05</v>
      </c>
      <c r="D386" s="1">
        <v>43983</v>
      </c>
      <c r="E386" t="s">
        <v>40</v>
      </c>
      <c r="F386" t="s">
        <v>269</v>
      </c>
      <c r="G386" t="s">
        <v>25</v>
      </c>
      <c r="H386" t="s">
        <v>52</v>
      </c>
      <c r="I386" t="s">
        <v>27</v>
      </c>
      <c r="J386" t="s">
        <v>541</v>
      </c>
      <c r="K386">
        <v>22131.91</v>
      </c>
      <c r="L386">
        <v>0.19840001018359499</v>
      </c>
      <c r="M386">
        <v>2020</v>
      </c>
      <c r="N386" t="s">
        <v>1179</v>
      </c>
      <c r="O386">
        <v>6</v>
      </c>
      <c r="P386" t="s">
        <v>1214</v>
      </c>
    </row>
    <row r="387" spans="1:16" x14ac:dyDescent="0.3">
      <c r="A387" t="s">
        <v>17</v>
      </c>
      <c r="B387">
        <v>89930.18</v>
      </c>
      <c r="C387">
        <v>78005.440000000002</v>
      </c>
      <c r="D387" s="1">
        <v>43916</v>
      </c>
      <c r="E387" t="s">
        <v>99</v>
      </c>
      <c r="F387" t="s">
        <v>106</v>
      </c>
      <c r="G387" t="s">
        <v>19</v>
      </c>
      <c r="H387" t="s">
        <v>78</v>
      </c>
      <c r="I387" t="s">
        <v>27</v>
      </c>
      <c r="J387" t="s">
        <v>542</v>
      </c>
      <c r="K387">
        <v>11924.74</v>
      </c>
      <c r="L387">
        <v>0.13259997922833</v>
      </c>
      <c r="M387">
        <v>2020</v>
      </c>
      <c r="N387" t="s">
        <v>1176</v>
      </c>
      <c r="O387">
        <v>3</v>
      </c>
      <c r="P387" t="s">
        <v>1215</v>
      </c>
    </row>
    <row r="388" spans="1:16" x14ac:dyDescent="0.3">
      <c r="A388" t="s">
        <v>216</v>
      </c>
      <c r="B388">
        <v>50241.47</v>
      </c>
      <c r="C388">
        <v>43443.8</v>
      </c>
      <c r="D388" s="1">
        <v>44121</v>
      </c>
      <c r="E388" t="s">
        <v>91</v>
      </c>
      <c r="F388" t="s">
        <v>308</v>
      </c>
      <c r="G388" t="s">
        <v>217</v>
      </c>
      <c r="H388" t="s">
        <v>218</v>
      </c>
      <c r="I388" t="s">
        <v>15</v>
      </c>
      <c r="J388" t="s">
        <v>543</v>
      </c>
      <c r="K388">
        <v>6797.67</v>
      </c>
      <c r="L388">
        <v>0.13529998226564599</v>
      </c>
      <c r="M388">
        <v>2020</v>
      </c>
      <c r="N388" t="s">
        <v>1178</v>
      </c>
      <c r="O388">
        <v>10</v>
      </c>
      <c r="P388" t="s">
        <v>1216</v>
      </c>
    </row>
    <row r="389" spans="1:16" x14ac:dyDescent="0.3">
      <c r="A389" t="s">
        <v>151</v>
      </c>
      <c r="B389">
        <v>76767.77</v>
      </c>
      <c r="C389">
        <v>64500.28</v>
      </c>
      <c r="D389" s="1">
        <v>43852</v>
      </c>
      <c r="E389" t="s">
        <v>11</v>
      </c>
      <c r="F389" t="s">
        <v>102</v>
      </c>
      <c r="G389" t="s">
        <v>152</v>
      </c>
      <c r="H389" t="s">
        <v>197</v>
      </c>
      <c r="I389" t="s">
        <v>27</v>
      </c>
      <c r="J389" t="s">
        <v>544</v>
      </c>
      <c r="K389">
        <v>12267.49</v>
      </c>
      <c r="L389">
        <v>0.15980000461131</v>
      </c>
      <c r="M389">
        <v>2020</v>
      </c>
      <c r="N389" t="s">
        <v>1177</v>
      </c>
      <c r="O389">
        <v>1</v>
      </c>
      <c r="P389" t="s">
        <v>1217</v>
      </c>
    </row>
    <row r="390" spans="1:16" x14ac:dyDescent="0.3">
      <c r="A390" t="s">
        <v>22</v>
      </c>
      <c r="B390">
        <v>60744.83</v>
      </c>
      <c r="C390">
        <v>52805.48</v>
      </c>
      <c r="D390" s="1">
        <v>43909</v>
      </c>
      <c r="E390" t="s">
        <v>51</v>
      </c>
      <c r="F390" t="s">
        <v>335</v>
      </c>
      <c r="G390" t="s">
        <v>25</v>
      </c>
      <c r="H390" t="s">
        <v>87</v>
      </c>
      <c r="I390" t="s">
        <v>27</v>
      </c>
      <c r="J390" t="s">
        <v>545</v>
      </c>
      <c r="K390">
        <v>7939.35</v>
      </c>
      <c r="L390">
        <v>0.13070001183639801</v>
      </c>
      <c r="M390">
        <v>2020</v>
      </c>
      <c r="N390" t="s">
        <v>1176</v>
      </c>
      <c r="O390">
        <v>3</v>
      </c>
      <c r="P390" t="s">
        <v>1215</v>
      </c>
    </row>
    <row r="391" spans="1:16" x14ac:dyDescent="0.3">
      <c r="A391" t="s">
        <v>17</v>
      </c>
      <c r="B391">
        <v>122468.33</v>
      </c>
      <c r="C391">
        <v>103032.61</v>
      </c>
      <c r="D391" s="1">
        <v>44052</v>
      </c>
      <c r="E391" t="s">
        <v>29</v>
      </c>
      <c r="F391" t="s">
        <v>56</v>
      </c>
      <c r="G391" t="s">
        <v>19</v>
      </c>
      <c r="H391" t="s">
        <v>49</v>
      </c>
      <c r="I391" t="s">
        <v>32</v>
      </c>
      <c r="J391" t="s">
        <v>546</v>
      </c>
      <c r="K391">
        <v>19435.72</v>
      </c>
      <c r="L391">
        <v>0.15869996757529101</v>
      </c>
      <c r="M391">
        <v>2020</v>
      </c>
      <c r="N391" t="s">
        <v>1171</v>
      </c>
      <c r="O391">
        <v>8</v>
      </c>
      <c r="P391" t="s">
        <v>1214</v>
      </c>
    </row>
    <row r="392" spans="1:16" x14ac:dyDescent="0.3">
      <c r="A392" t="s">
        <v>22</v>
      </c>
      <c r="B392">
        <v>74958.460000000006</v>
      </c>
      <c r="C392">
        <v>65806.03</v>
      </c>
      <c r="D392" s="1">
        <v>43959</v>
      </c>
      <c r="E392" t="s">
        <v>29</v>
      </c>
      <c r="F392" t="s">
        <v>106</v>
      </c>
      <c r="G392" t="s">
        <v>25</v>
      </c>
      <c r="H392" t="s">
        <v>167</v>
      </c>
      <c r="I392" t="s">
        <v>27</v>
      </c>
      <c r="J392" t="s">
        <v>547</v>
      </c>
      <c r="K392">
        <v>9152.43</v>
      </c>
      <c r="L392">
        <v>0.122100027135029</v>
      </c>
      <c r="M392">
        <v>2020</v>
      </c>
      <c r="N392" t="s">
        <v>1173</v>
      </c>
      <c r="O392">
        <v>5</v>
      </c>
      <c r="P392" t="s">
        <v>1215</v>
      </c>
    </row>
    <row r="393" spans="1:16" x14ac:dyDescent="0.3">
      <c r="A393" t="s">
        <v>17</v>
      </c>
      <c r="B393">
        <v>66678.38</v>
      </c>
      <c r="C393">
        <v>53009.31</v>
      </c>
      <c r="D393" s="1">
        <v>43558</v>
      </c>
      <c r="E393" t="s">
        <v>51</v>
      </c>
      <c r="F393" t="s">
        <v>373</v>
      </c>
      <c r="G393" t="s">
        <v>19</v>
      </c>
      <c r="H393" t="s">
        <v>20</v>
      </c>
      <c r="I393" t="s">
        <v>27</v>
      </c>
      <c r="J393" t="s">
        <v>548</v>
      </c>
      <c r="K393">
        <v>13669.07</v>
      </c>
      <c r="L393">
        <v>0.205000031494466</v>
      </c>
      <c r="M393">
        <v>2019</v>
      </c>
      <c r="N393" t="s">
        <v>1172</v>
      </c>
      <c r="O393">
        <v>4</v>
      </c>
      <c r="P393" t="s">
        <v>1215</v>
      </c>
    </row>
    <row r="394" spans="1:16" x14ac:dyDescent="0.3">
      <c r="A394" t="s">
        <v>17</v>
      </c>
      <c r="B394">
        <v>56106.13</v>
      </c>
      <c r="C394">
        <v>45081.27</v>
      </c>
      <c r="D394" s="1">
        <v>44168</v>
      </c>
      <c r="E394" t="s">
        <v>29</v>
      </c>
      <c r="F394" t="s">
        <v>149</v>
      </c>
      <c r="G394" t="s">
        <v>19</v>
      </c>
      <c r="H394" t="s">
        <v>20</v>
      </c>
      <c r="I394" t="s">
        <v>27</v>
      </c>
      <c r="J394" t="s">
        <v>549</v>
      </c>
      <c r="K394">
        <v>11024.86</v>
      </c>
      <c r="L394">
        <v>0.19650009722645301</v>
      </c>
      <c r="M394">
        <v>2020</v>
      </c>
      <c r="N394" t="s">
        <v>1182</v>
      </c>
      <c r="O394">
        <v>12</v>
      </c>
      <c r="P394" t="s">
        <v>1217</v>
      </c>
    </row>
    <row r="395" spans="1:16" x14ac:dyDescent="0.3">
      <c r="A395" t="s">
        <v>10</v>
      </c>
      <c r="B395">
        <v>64842.92</v>
      </c>
      <c r="C395">
        <v>56439.28</v>
      </c>
      <c r="D395" s="1">
        <v>43737</v>
      </c>
      <c r="E395" t="s">
        <v>23</v>
      </c>
      <c r="F395" t="s">
        <v>244</v>
      </c>
      <c r="G395" t="s">
        <v>13</v>
      </c>
      <c r="H395" t="s">
        <v>46</v>
      </c>
      <c r="I395" t="s">
        <v>32</v>
      </c>
      <c r="J395" t="s">
        <v>550</v>
      </c>
      <c r="K395">
        <v>8403.64</v>
      </c>
      <c r="L395">
        <v>0.12959996249397801</v>
      </c>
      <c r="M395">
        <v>2019</v>
      </c>
      <c r="N395" t="s">
        <v>1175</v>
      </c>
      <c r="O395">
        <v>9</v>
      </c>
      <c r="P395" t="s">
        <v>1216</v>
      </c>
    </row>
    <row r="396" spans="1:16" x14ac:dyDescent="0.3">
      <c r="A396" t="s">
        <v>17</v>
      </c>
      <c r="B396">
        <v>45481.24</v>
      </c>
      <c r="C396">
        <v>37317.360000000001</v>
      </c>
      <c r="D396" s="1">
        <v>43763</v>
      </c>
      <c r="E396" t="s">
        <v>51</v>
      </c>
      <c r="F396" t="s">
        <v>89</v>
      </c>
      <c r="G396" t="s">
        <v>19</v>
      </c>
      <c r="H396" t="s">
        <v>31</v>
      </c>
      <c r="I396" t="s">
        <v>27</v>
      </c>
      <c r="J396" t="s">
        <v>551</v>
      </c>
      <c r="K396">
        <v>8163.88</v>
      </c>
      <c r="L396">
        <v>0.17949994327331401</v>
      </c>
      <c r="M396">
        <v>2019</v>
      </c>
      <c r="N396" t="s">
        <v>1178</v>
      </c>
      <c r="O396">
        <v>10</v>
      </c>
      <c r="P396" t="s">
        <v>1216</v>
      </c>
    </row>
    <row r="397" spans="1:16" x14ac:dyDescent="0.3">
      <c r="A397" t="s">
        <v>129</v>
      </c>
      <c r="B397">
        <v>107271.94</v>
      </c>
      <c r="C397">
        <v>86665</v>
      </c>
      <c r="D397" s="1">
        <v>44066</v>
      </c>
      <c r="E397" t="s">
        <v>11</v>
      </c>
      <c r="F397" t="s">
        <v>56</v>
      </c>
      <c r="G397" t="s">
        <v>130</v>
      </c>
      <c r="H397" t="s">
        <v>159</v>
      </c>
      <c r="I397" t="s">
        <v>27</v>
      </c>
      <c r="J397" t="s">
        <v>552</v>
      </c>
      <c r="K397">
        <v>20606.939999999999</v>
      </c>
      <c r="L397">
        <v>0.19210000303900501</v>
      </c>
      <c r="M397">
        <v>2020</v>
      </c>
      <c r="N397" t="s">
        <v>1171</v>
      </c>
      <c r="O397">
        <v>8</v>
      </c>
      <c r="P397" t="s">
        <v>1214</v>
      </c>
    </row>
    <row r="398" spans="1:16" x14ac:dyDescent="0.3">
      <c r="A398" t="s">
        <v>22</v>
      </c>
      <c r="B398">
        <v>42847.46</v>
      </c>
      <c r="C398">
        <v>34757.86</v>
      </c>
      <c r="D398" s="1">
        <v>44126</v>
      </c>
      <c r="E398" t="s">
        <v>55</v>
      </c>
      <c r="F398" t="s">
        <v>113</v>
      </c>
      <c r="G398" t="s">
        <v>25</v>
      </c>
      <c r="H398" t="s">
        <v>52</v>
      </c>
      <c r="I398" t="s">
        <v>27</v>
      </c>
      <c r="J398" t="s">
        <v>553</v>
      </c>
      <c r="K398">
        <v>8089.6</v>
      </c>
      <c r="L398">
        <v>0.18879998954430399</v>
      </c>
      <c r="M398">
        <v>2020</v>
      </c>
      <c r="N398" t="s">
        <v>1178</v>
      </c>
      <c r="O398">
        <v>10</v>
      </c>
      <c r="P398" t="s">
        <v>1216</v>
      </c>
    </row>
    <row r="399" spans="1:16" x14ac:dyDescent="0.3">
      <c r="A399" t="s">
        <v>10</v>
      </c>
      <c r="B399">
        <v>108978.79</v>
      </c>
      <c r="C399">
        <v>95432.73</v>
      </c>
      <c r="D399" s="1">
        <v>43797</v>
      </c>
      <c r="E399" t="s">
        <v>11</v>
      </c>
      <c r="F399" t="s">
        <v>144</v>
      </c>
      <c r="G399" t="s">
        <v>13</v>
      </c>
      <c r="H399" t="s">
        <v>72</v>
      </c>
      <c r="I399" t="s">
        <v>27</v>
      </c>
      <c r="J399" t="s">
        <v>554</v>
      </c>
      <c r="K399">
        <v>13546.06</v>
      </c>
      <c r="L399">
        <v>0.124299966993577</v>
      </c>
      <c r="M399">
        <v>2019</v>
      </c>
      <c r="N399" t="s">
        <v>1180</v>
      </c>
      <c r="O399">
        <v>11</v>
      </c>
      <c r="P399" t="s">
        <v>1216</v>
      </c>
    </row>
    <row r="400" spans="1:16" x14ac:dyDescent="0.3">
      <c r="A400" t="s">
        <v>17</v>
      </c>
      <c r="B400">
        <v>133905.54999999999</v>
      </c>
      <c r="C400">
        <v>116886.15</v>
      </c>
      <c r="D400" s="1">
        <v>43838</v>
      </c>
      <c r="E400" t="s">
        <v>91</v>
      </c>
      <c r="F400" t="s">
        <v>214</v>
      </c>
      <c r="G400" t="s">
        <v>19</v>
      </c>
      <c r="H400" t="s">
        <v>49</v>
      </c>
      <c r="I400" t="s">
        <v>32</v>
      </c>
      <c r="J400" t="s">
        <v>555</v>
      </c>
      <c r="K400">
        <v>17019.400000000001</v>
      </c>
      <c r="L400">
        <v>0.12710003431523201</v>
      </c>
      <c r="M400">
        <v>2020</v>
      </c>
      <c r="N400" t="s">
        <v>1177</v>
      </c>
      <c r="O400">
        <v>1</v>
      </c>
      <c r="P400" t="s">
        <v>1217</v>
      </c>
    </row>
    <row r="401" spans="1:16" x14ac:dyDescent="0.3">
      <c r="A401" t="s">
        <v>34</v>
      </c>
      <c r="B401">
        <v>65014.84</v>
      </c>
      <c r="C401">
        <v>53669.75</v>
      </c>
      <c r="D401" s="1">
        <v>43917</v>
      </c>
      <c r="E401" t="s">
        <v>181</v>
      </c>
      <c r="F401" t="s">
        <v>92</v>
      </c>
      <c r="G401" t="s">
        <v>36</v>
      </c>
      <c r="H401" t="s">
        <v>37</v>
      </c>
      <c r="I401" t="s">
        <v>32</v>
      </c>
      <c r="J401" t="s">
        <v>556</v>
      </c>
      <c r="K401">
        <v>11345.09</v>
      </c>
      <c r="L401">
        <v>0.174500006460064</v>
      </c>
      <c r="M401">
        <v>2020</v>
      </c>
      <c r="N401" t="s">
        <v>1176</v>
      </c>
      <c r="O401">
        <v>3</v>
      </c>
      <c r="P401" t="s">
        <v>1215</v>
      </c>
    </row>
    <row r="402" spans="1:16" x14ac:dyDescent="0.3">
      <c r="A402" t="s">
        <v>10</v>
      </c>
      <c r="B402">
        <v>113763.38</v>
      </c>
      <c r="C402">
        <v>91158.6</v>
      </c>
      <c r="D402" s="1">
        <v>43834</v>
      </c>
      <c r="E402" t="s">
        <v>91</v>
      </c>
      <c r="F402" t="s">
        <v>222</v>
      </c>
      <c r="G402" t="s">
        <v>13</v>
      </c>
      <c r="H402" t="s">
        <v>72</v>
      </c>
      <c r="I402" t="s">
        <v>27</v>
      </c>
      <c r="J402" t="s">
        <v>557</v>
      </c>
      <c r="K402">
        <v>22604.78</v>
      </c>
      <c r="L402">
        <v>0.19869996830263001</v>
      </c>
      <c r="M402">
        <v>2020</v>
      </c>
      <c r="N402" t="s">
        <v>1177</v>
      </c>
      <c r="O402">
        <v>1</v>
      </c>
      <c r="P402" t="s">
        <v>1217</v>
      </c>
    </row>
    <row r="403" spans="1:16" x14ac:dyDescent="0.3">
      <c r="A403" t="s">
        <v>66</v>
      </c>
      <c r="B403">
        <v>294874.74</v>
      </c>
      <c r="C403">
        <v>259106.43</v>
      </c>
      <c r="D403" s="1">
        <v>44180</v>
      </c>
      <c r="E403" t="s">
        <v>91</v>
      </c>
      <c r="F403" t="s">
        <v>113</v>
      </c>
      <c r="G403" t="s">
        <v>68</v>
      </c>
      <c r="H403" t="s">
        <v>69</v>
      </c>
      <c r="I403" t="s">
        <v>27</v>
      </c>
      <c r="J403" t="s">
        <v>558</v>
      </c>
      <c r="K403">
        <v>35768.31</v>
      </c>
      <c r="L403">
        <v>0.12130001369395001</v>
      </c>
      <c r="M403">
        <v>2020</v>
      </c>
      <c r="N403" t="s">
        <v>1182</v>
      </c>
      <c r="O403">
        <v>12</v>
      </c>
      <c r="P403" t="s">
        <v>1217</v>
      </c>
    </row>
    <row r="404" spans="1:16" x14ac:dyDescent="0.3">
      <c r="A404" t="s">
        <v>10</v>
      </c>
      <c r="B404">
        <v>73860.570000000007</v>
      </c>
      <c r="C404">
        <v>60336.7</v>
      </c>
      <c r="D404" s="1">
        <v>44148</v>
      </c>
      <c r="E404" t="s">
        <v>40</v>
      </c>
      <c r="F404" t="s">
        <v>211</v>
      </c>
      <c r="G404" t="s">
        <v>13</v>
      </c>
      <c r="H404" t="s">
        <v>72</v>
      </c>
      <c r="I404" t="s">
        <v>27</v>
      </c>
      <c r="J404" t="s">
        <v>559</v>
      </c>
      <c r="K404">
        <v>13523.87</v>
      </c>
      <c r="L404">
        <v>0.18309999503117799</v>
      </c>
      <c r="M404">
        <v>2020</v>
      </c>
      <c r="N404" t="s">
        <v>1180</v>
      </c>
      <c r="O404">
        <v>11</v>
      </c>
      <c r="P404" t="s">
        <v>1216</v>
      </c>
    </row>
    <row r="405" spans="1:16" x14ac:dyDescent="0.3">
      <c r="A405" t="s">
        <v>66</v>
      </c>
      <c r="B405">
        <v>182852.21</v>
      </c>
      <c r="C405">
        <v>145440.65</v>
      </c>
      <c r="D405" s="1">
        <v>43827</v>
      </c>
      <c r="E405" t="s">
        <v>181</v>
      </c>
      <c r="F405" t="s">
        <v>56</v>
      </c>
      <c r="G405" t="s">
        <v>68</v>
      </c>
      <c r="H405" t="s">
        <v>69</v>
      </c>
      <c r="I405" t="s">
        <v>27</v>
      </c>
      <c r="J405" t="s">
        <v>560</v>
      </c>
      <c r="K405">
        <v>37411.56</v>
      </c>
      <c r="L405">
        <v>0.204599988154368</v>
      </c>
      <c r="M405">
        <v>2019</v>
      </c>
      <c r="N405" t="s">
        <v>1182</v>
      </c>
      <c r="O405">
        <v>12</v>
      </c>
      <c r="P405" t="s">
        <v>1217</v>
      </c>
    </row>
    <row r="406" spans="1:16" x14ac:dyDescent="0.3">
      <c r="A406" t="s">
        <v>54</v>
      </c>
      <c r="B406">
        <v>163546.81</v>
      </c>
      <c r="C406">
        <v>133307</v>
      </c>
      <c r="D406" s="1">
        <v>43651</v>
      </c>
      <c r="E406" t="s">
        <v>29</v>
      </c>
      <c r="F406" t="s">
        <v>83</v>
      </c>
      <c r="G406" t="s">
        <v>57</v>
      </c>
      <c r="H406" t="s">
        <v>58</v>
      </c>
      <c r="I406" t="s">
        <v>27</v>
      </c>
      <c r="J406" t="s">
        <v>561</v>
      </c>
      <c r="K406">
        <v>30239.81</v>
      </c>
      <c r="L406">
        <v>0.18490002953894399</v>
      </c>
      <c r="M406">
        <v>2019</v>
      </c>
      <c r="N406" t="s">
        <v>1174</v>
      </c>
      <c r="O406">
        <v>7</v>
      </c>
      <c r="P406" t="s">
        <v>1214</v>
      </c>
    </row>
    <row r="407" spans="1:16" x14ac:dyDescent="0.3">
      <c r="A407" t="s">
        <v>34</v>
      </c>
      <c r="B407">
        <v>56768.43</v>
      </c>
      <c r="C407">
        <v>47384.61</v>
      </c>
      <c r="D407" s="1">
        <v>43577</v>
      </c>
      <c r="E407" t="s">
        <v>11</v>
      </c>
      <c r="F407" t="s">
        <v>80</v>
      </c>
      <c r="G407" t="s">
        <v>36</v>
      </c>
      <c r="H407" t="s">
        <v>104</v>
      </c>
      <c r="I407" t="s">
        <v>27</v>
      </c>
      <c r="J407" t="s">
        <v>562</v>
      </c>
      <c r="K407">
        <v>9383.82</v>
      </c>
      <c r="L407">
        <v>0.165299973946787</v>
      </c>
      <c r="M407">
        <v>2019</v>
      </c>
      <c r="N407" t="s">
        <v>1172</v>
      </c>
      <c r="O407">
        <v>4</v>
      </c>
      <c r="P407" t="s">
        <v>1215</v>
      </c>
    </row>
    <row r="408" spans="1:16" x14ac:dyDescent="0.3">
      <c r="A408" t="s">
        <v>22</v>
      </c>
      <c r="B408">
        <v>143107.89000000001</v>
      </c>
      <c r="C408">
        <v>121241</v>
      </c>
      <c r="D408" s="1">
        <v>43872</v>
      </c>
      <c r="E408" t="s">
        <v>29</v>
      </c>
      <c r="F408" t="s">
        <v>30</v>
      </c>
      <c r="G408" t="s">
        <v>25</v>
      </c>
      <c r="H408" t="s">
        <v>63</v>
      </c>
      <c r="I408" t="s">
        <v>32</v>
      </c>
      <c r="J408" t="s">
        <v>563</v>
      </c>
      <c r="K408">
        <v>21866.89</v>
      </c>
      <c r="L408">
        <v>0.15280003080193599</v>
      </c>
      <c r="M408">
        <v>2020</v>
      </c>
      <c r="N408" t="s">
        <v>1181</v>
      </c>
      <c r="O408">
        <v>2</v>
      </c>
      <c r="P408" t="s">
        <v>1217</v>
      </c>
    </row>
    <row r="409" spans="1:16" x14ac:dyDescent="0.3">
      <c r="A409" t="s">
        <v>10</v>
      </c>
      <c r="B409">
        <v>115339.49</v>
      </c>
      <c r="C409">
        <v>100691.37</v>
      </c>
      <c r="D409" s="1">
        <v>43533</v>
      </c>
      <c r="E409" t="s">
        <v>181</v>
      </c>
      <c r="F409" t="s">
        <v>400</v>
      </c>
      <c r="G409" t="s">
        <v>13</v>
      </c>
      <c r="H409" t="s">
        <v>72</v>
      </c>
      <c r="I409" t="s">
        <v>32</v>
      </c>
      <c r="J409" t="s">
        <v>564</v>
      </c>
      <c r="K409">
        <v>14648.12</v>
      </c>
      <c r="L409">
        <v>0.12700004135617399</v>
      </c>
      <c r="M409">
        <v>2019</v>
      </c>
      <c r="N409" t="s">
        <v>1176</v>
      </c>
      <c r="O409">
        <v>3</v>
      </c>
      <c r="P409" t="s">
        <v>1215</v>
      </c>
    </row>
    <row r="410" spans="1:16" x14ac:dyDescent="0.3">
      <c r="A410" t="s">
        <v>151</v>
      </c>
      <c r="B410">
        <v>117358.02</v>
      </c>
      <c r="C410">
        <v>102664.8</v>
      </c>
      <c r="D410" s="1">
        <v>43872</v>
      </c>
      <c r="E410" t="s">
        <v>40</v>
      </c>
      <c r="F410" t="s">
        <v>272</v>
      </c>
      <c r="G410" t="s">
        <v>152</v>
      </c>
      <c r="H410" t="s">
        <v>153</v>
      </c>
      <c r="I410" t="s">
        <v>27</v>
      </c>
      <c r="J410" t="s">
        <v>565</v>
      </c>
      <c r="K410">
        <v>14693.22</v>
      </c>
      <c r="L410">
        <v>0.12519996503008499</v>
      </c>
      <c r="M410">
        <v>2020</v>
      </c>
      <c r="N410" t="s">
        <v>1181</v>
      </c>
      <c r="O410">
        <v>2</v>
      </c>
      <c r="P410" t="s">
        <v>1217</v>
      </c>
    </row>
    <row r="411" spans="1:16" x14ac:dyDescent="0.3">
      <c r="A411" t="s">
        <v>10</v>
      </c>
      <c r="B411">
        <v>54446.5</v>
      </c>
      <c r="C411">
        <v>44989.14</v>
      </c>
      <c r="D411" s="1">
        <v>44077</v>
      </c>
      <c r="E411" t="s">
        <v>23</v>
      </c>
      <c r="F411" t="s">
        <v>269</v>
      </c>
      <c r="G411" t="s">
        <v>13</v>
      </c>
      <c r="H411" t="s">
        <v>46</v>
      </c>
      <c r="I411" t="s">
        <v>15</v>
      </c>
      <c r="J411" t="s">
        <v>566</v>
      </c>
      <c r="K411">
        <v>9457.36</v>
      </c>
      <c r="L411">
        <v>0.17370005418162801</v>
      </c>
      <c r="M411">
        <v>2020</v>
      </c>
      <c r="N411" t="s">
        <v>1175</v>
      </c>
      <c r="O411">
        <v>9</v>
      </c>
      <c r="P411" t="s">
        <v>1216</v>
      </c>
    </row>
    <row r="412" spans="1:16" x14ac:dyDescent="0.3">
      <c r="A412" t="s">
        <v>216</v>
      </c>
      <c r="B412">
        <v>152771.9</v>
      </c>
      <c r="C412">
        <v>134423.99</v>
      </c>
      <c r="D412" s="1">
        <v>43866</v>
      </c>
      <c r="E412" t="s">
        <v>40</v>
      </c>
      <c r="F412" t="s">
        <v>367</v>
      </c>
      <c r="G412" t="s">
        <v>217</v>
      </c>
      <c r="H412" t="s">
        <v>218</v>
      </c>
      <c r="I412" t="s">
        <v>27</v>
      </c>
      <c r="J412" t="s">
        <v>567</v>
      </c>
      <c r="K412">
        <v>18347.91</v>
      </c>
      <c r="L412">
        <v>0.120100031484848</v>
      </c>
      <c r="M412">
        <v>2020</v>
      </c>
      <c r="N412" t="s">
        <v>1181</v>
      </c>
      <c r="O412">
        <v>2</v>
      </c>
      <c r="P412" t="s">
        <v>1217</v>
      </c>
    </row>
    <row r="413" spans="1:16" x14ac:dyDescent="0.3">
      <c r="A413" t="s">
        <v>22</v>
      </c>
      <c r="B413">
        <v>211872.69</v>
      </c>
      <c r="C413">
        <v>177930.69</v>
      </c>
      <c r="D413" s="1">
        <v>43669</v>
      </c>
      <c r="E413" t="s">
        <v>11</v>
      </c>
      <c r="F413" t="s">
        <v>56</v>
      </c>
      <c r="G413" t="s">
        <v>25</v>
      </c>
      <c r="H413" t="s">
        <v>63</v>
      </c>
      <c r="I413" t="s">
        <v>32</v>
      </c>
      <c r="J413" t="s">
        <v>568</v>
      </c>
      <c r="K413">
        <v>33942</v>
      </c>
      <c r="L413">
        <v>0.16019997669355099</v>
      </c>
      <c r="M413">
        <v>2019</v>
      </c>
      <c r="N413" t="s">
        <v>1174</v>
      </c>
      <c r="O413">
        <v>7</v>
      </c>
      <c r="P413" t="s">
        <v>1214</v>
      </c>
    </row>
    <row r="414" spans="1:16" x14ac:dyDescent="0.3">
      <c r="A414" t="s">
        <v>17</v>
      </c>
      <c r="B414">
        <v>77043.839999999997</v>
      </c>
      <c r="C414">
        <v>63245.29</v>
      </c>
      <c r="D414" s="1">
        <v>44045</v>
      </c>
      <c r="E414" t="s">
        <v>181</v>
      </c>
      <c r="F414" t="s">
        <v>126</v>
      </c>
      <c r="G414" t="s">
        <v>19</v>
      </c>
      <c r="H414" t="s">
        <v>49</v>
      </c>
      <c r="I414" t="s">
        <v>27</v>
      </c>
      <c r="J414" t="s">
        <v>569</v>
      </c>
      <c r="K414">
        <v>13798.55</v>
      </c>
      <c r="L414">
        <v>0.179099977363537</v>
      </c>
      <c r="M414">
        <v>2020</v>
      </c>
      <c r="N414" t="s">
        <v>1171</v>
      </c>
      <c r="O414">
        <v>8</v>
      </c>
      <c r="P414" t="s">
        <v>1214</v>
      </c>
    </row>
    <row r="415" spans="1:16" x14ac:dyDescent="0.3">
      <c r="A415" t="s">
        <v>216</v>
      </c>
      <c r="B415">
        <v>353925.06</v>
      </c>
      <c r="C415">
        <v>287528.71999999997</v>
      </c>
      <c r="D415" s="1">
        <v>43933</v>
      </c>
      <c r="E415" t="s">
        <v>40</v>
      </c>
      <c r="F415" t="s">
        <v>229</v>
      </c>
      <c r="G415" t="s">
        <v>217</v>
      </c>
      <c r="H415" t="s">
        <v>218</v>
      </c>
      <c r="I415" t="s">
        <v>27</v>
      </c>
      <c r="J415" t="s">
        <v>570</v>
      </c>
      <c r="K415">
        <v>66396.34</v>
      </c>
      <c r="L415">
        <v>0.18759999645122599</v>
      </c>
      <c r="M415">
        <v>2020</v>
      </c>
      <c r="N415" t="s">
        <v>1172</v>
      </c>
      <c r="O415">
        <v>4</v>
      </c>
      <c r="P415" t="s">
        <v>1215</v>
      </c>
    </row>
    <row r="416" spans="1:16" x14ac:dyDescent="0.3">
      <c r="A416" t="s">
        <v>34</v>
      </c>
      <c r="B416">
        <v>176080.36</v>
      </c>
      <c r="C416">
        <v>153401.21</v>
      </c>
      <c r="D416" s="1">
        <v>43782</v>
      </c>
      <c r="E416" t="s">
        <v>76</v>
      </c>
      <c r="F416" t="s">
        <v>133</v>
      </c>
      <c r="G416" t="s">
        <v>36</v>
      </c>
      <c r="H416" t="s">
        <v>93</v>
      </c>
      <c r="I416" t="s">
        <v>27</v>
      </c>
      <c r="J416" t="s">
        <v>571</v>
      </c>
      <c r="K416">
        <v>22679.15</v>
      </c>
      <c r="L416">
        <v>0.12879999791004501</v>
      </c>
      <c r="M416">
        <v>2019</v>
      </c>
      <c r="N416" t="s">
        <v>1180</v>
      </c>
      <c r="O416">
        <v>11</v>
      </c>
      <c r="P416" t="s">
        <v>1216</v>
      </c>
    </row>
    <row r="417" spans="1:16" x14ac:dyDescent="0.3">
      <c r="A417" t="s">
        <v>129</v>
      </c>
      <c r="B417">
        <v>180250.02</v>
      </c>
      <c r="C417">
        <v>147354.39000000001</v>
      </c>
      <c r="D417" s="1">
        <v>43530</v>
      </c>
      <c r="E417" t="s">
        <v>29</v>
      </c>
      <c r="F417" t="s">
        <v>302</v>
      </c>
      <c r="G417" t="s">
        <v>130</v>
      </c>
      <c r="H417" t="s">
        <v>131</v>
      </c>
      <c r="I417" t="s">
        <v>27</v>
      </c>
      <c r="J417" t="s">
        <v>572</v>
      </c>
      <c r="K417">
        <v>32895.629999999997</v>
      </c>
      <c r="L417">
        <v>0.18250000748959699</v>
      </c>
      <c r="M417">
        <v>2019</v>
      </c>
      <c r="N417" t="s">
        <v>1176</v>
      </c>
      <c r="O417">
        <v>3</v>
      </c>
      <c r="P417" t="s">
        <v>1215</v>
      </c>
    </row>
    <row r="418" spans="1:16" x14ac:dyDescent="0.3">
      <c r="A418" t="s">
        <v>22</v>
      </c>
      <c r="B418">
        <v>157754.35999999999</v>
      </c>
      <c r="C418">
        <v>132166.6</v>
      </c>
      <c r="D418" s="1">
        <v>43716</v>
      </c>
      <c r="E418" t="s">
        <v>91</v>
      </c>
      <c r="F418" t="s">
        <v>144</v>
      </c>
      <c r="G418" t="s">
        <v>25</v>
      </c>
      <c r="H418" t="s">
        <v>52</v>
      </c>
      <c r="I418" t="s">
        <v>32</v>
      </c>
      <c r="J418" t="s">
        <v>573</v>
      </c>
      <c r="K418">
        <v>25587.759999999998</v>
      </c>
      <c r="L418">
        <v>0.16220001779982501</v>
      </c>
      <c r="M418">
        <v>2019</v>
      </c>
      <c r="N418" t="s">
        <v>1175</v>
      </c>
      <c r="O418">
        <v>9</v>
      </c>
      <c r="P418" t="s">
        <v>1216</v>
      </c>
    </row>
    <row r="419" spans="1:16" x14ac:dyDescent="0.3">
      <c r="A419" t="s">
        <v>34</v>
      </c>
      <c r="B419">
        <v>87321.89</v>
      </c>
      <c r="C419">
        <v>69254.990000000005</v>
      </c>
      <c r="D419" s="1">
        <v>43482</v>
      </c>
      <c r="E419" t="s">
        <v>29</v>
      </c>
      <c r="F419" t="s">
        <v>133</v>
      </c>
      <c r="G419" t="s">
        <v>36</v>
      </c>
      <c r="H419" t="s">
        <v>104</v>
      </c>
      <c r="I419" t="s">
        <v>32</v>
      </c>
      <c r="J419" t="s">
        <v>574</v>
      </c>
      <c r="K419">
        <v>18066.900000000001</v>
      </c>
      <c r="L419">
        <v>0.206900010982355</v>
      </c>
      <c r="M419">
        <v>2019</v>
      </c>
      <c r="N419" t="s">
        <v>1177</v>
      </c>
      <c r="O419">
        <v>1</v>
      </c>
      <c r="P419" t="s">
        <v>1217</v>
      </c>
    </row>
    <row r="420" spans="1:16" x14ac:dyDescent="0.3">
      <c r="A420" t="s">
        <v>22</v>
      </c>
      <c r="B420">
        <v>40467.85</v>
      </c>
      <c r="C420">
        <v>34656.67</v>
      </c>
      <c r="D420" s="1">
        <v>43889</v>
      </c>
      <c r="E420" t="s">
        <v>51</v>
      </c>
      <c r="F420" t="s">
        <v>135</v>
      </c>
      <c r="G420" t="s">
        <v>25</v>
      </c>
      <c r="H420" t="s">
        <v>26</v>
      </c>
      <c r="I420" t="s">
        <v>15</v>
      </c>
      <c r="J420" t="s">
        <v>575</v>
      </c>
      <c r="K420">
        <v>5811.18</v>
      </c>
      <c r="L420">
        <v>0.143599919442224</v>
      </c>
      <c r="M420">
        <v>2020</v>
      </c>
      <c r="N420" t="s">
        <v>1181</v>
      </c>
      <c r="O420">
        <v>2</v>
      </c>
      <c r="P420" t="s">
        <v>1217</v>
      </c>
    </row>
    <row r="421" spans="1:16" x14ac:dyDescent="0.3">
      <c r="A421" t="s">
        <v>34</v>
      </c>
      <c r="B421">
        <v>160763.9</v>
      </c>
      <c r="C421">
        <v>131102.96</v>
      </c>
      <c r="D421" s="1">
        <v>43573</v>
      </c>
      <c r="E421" t="s">
        <v>23</v>
      </c>
      <c r="F421" t="s">
        <v>211</v>
      </c>
      <c r="G421" t="s">
        <v>36</v>
      </c>
      <c r="H421" t="s">
        <v>37</v>
      </c>
      <c r="I421" t="s">
        <v>27</v>
      </c>
      <c r="J421" t="s">
        <v>576</v>
      </c>
      <c r="K421">
        <v>29660.94</v>
      </c>
      <c r="L421">
        <v>0.184500002799136</v>
      </c>
      <c r="M421">
        <v>2019</v>
      </c>
      <c r="N421" t="s">
        <v>1172</v>
      </c>
      <c r="O421">
        <v>4</v>
      </c>
      <c r="P421" t="s">
        <v>1215</v>
      </c>
    </row>
    <row r="422" spans="1:16" x14ac:dyDescent="0.3">
      <c r="A422" t="s">
        <v>10</v>
      </c>
      <c r="B422">
        <v>156505.37</v>
      </c>
      <c r="C422">
        <v>128647.41</v>
      </c>
      <c r="D422" s="1">
        <v>43560</v>
      </c>
      <c r="E422" t="s">
        <v>29</v>
      </c>
      <c r="F422" t="s">
        <v>308</v>
      </c>
      <c r="G422" t="s">
        <v>13</v>
      </c>
      <c r="H422" t="s">
        <v>46</v>
      </c>
      <c r="I422" t="s">
        <v>27</v>
      </c>
      <c r="J422" t="s">
        <v>577</v>
      </c>
      <c r="K422">
        <v>27857.96</v>
      </c>
      <c r="L422">
        <v>0.178000026452766</v>
      </c>
      <c r="M422">
        <v>2019</v>
      </c>
      <c r="N422" t="s">
        <v>1172</v>
      </c>
      <c r="O422">
        <v>4</v>
      </c>
      <c r="P422" t="s">
        <v>1215</v>
      </c>
    </row>
    <row r="423" spans="1:16" x14ac:dyDescent="0.3">
      <c r="A423" t="s">
        <v>10</v>
      </c>
      <c r="B423">
        <v>118030.7</v>
      </c>
      <c r="C423">
        <v>97304.51</v>
      </c>
      <c r="D423" s="1">
        <v>43564</v>
      </c>
      <c r="E423" t="s">
        <v>29</v>
      </c>
      <c r="F423" t="s">
        <v>92</v>
      </c>
      <c r="G423" t="s">
        <v>13</v>
      </c>
      <c r="H423" t="s">
        <v>72</v>
      </c>
      <c r="I423" t="s">
        <v>27</v>
      </c>
      <c r="J423" t="s">
        <v>578</v>
      </c>
      <c r="K423">
        <v>20726.189999999999</v>
      </c>
      <c r="L423">
        <v>0.175599992205418</v>
      </c>
      <c r="M423">
        <v>2019</v>
      </c>
      <c r="N423" t="s">
        <v>1172</v>
      </c>
      <c r="O423">
        <v>4</v>
      </c>
      <c r="P423" t="s">
        <v>1215</v>
      </c>
    </row>
    <row r="424" spans="1:16" x14ac:dyDescent="0.3">
      <c r="A424" t="s">
        <v>10</v>
      </c>
      <c r="B424">
        <v>15100.57</v>
      </c>
      <c r="C424">
        <v>12113.68</v>
      </c>
      <c r="D424" s="1">
        <v>43516</v>
      </c>
      <c r="E424" t="s">
        <v>11</v>
      </c>
      <c r="F424" t="s">
        <v>300</v>
      </c>
      <c r="G424" t="s">
        <v>13</v>
      </c>
      <c r="H424" t="s">
        <v>14</v>
      </c>
      <c r="I424" t="s">
        <v>27</v>
      </c>
      <c r="J424" t="s">
        <v>579</v>
      </c>
      <c r="K424">
        <v>2986.89</v>
      </c>
      <c r="L424">
        <v>0.19779981815256001</v>
      </c>
      <c r="M424">
        <v>2019</v>
      </c>
      <c r="N424" t="s">
        <v>1181</v>
      </c>
      <c r="O424">
        <v>2</v>
      </c>
      <c r="P424" t="s">
        <v>1217</v>
      </c>
    </row>
    <row r="425" spans="1:16" x14ac:dyDescent="0.3">
      <c r="A425" t="s">
        <v>22</v>
      </c>
      <c r="B425">
        <v>105833.52</v>
      </c>
      <c r="C425">
        <v>85312.4</v>
      </c>
      <c r="D425" s="1">
        <v>43544</v>
      </c>
      <c r="E425" t="s">
        <v>51</v>
      </c>
      <c r="F425" t="s">
        <v>211</v>
      </c>
      <c r="G425" t="s">
        <v>25</v>
      </c>
      <c r="H425" t="s">
        <v>26</v>
      </c>
      <c r="I425" t="s">
        <v>27</v>
      </c>
      <c r="J425" t="s">
        <v>580</v>
      </c>
      <c r="K425">
        <v>20521.12</v>
      </c>
      <c r="L425">
        <v>0.19390000445983499</v>
      </c>
      <c r="M425">
        <v>2019</v>
      </c>
      <c r="N425" t="s">
        <v>1176</v>
      </c>
      <c r="O425">
        <v>3</v>
      </c>
      <c r="P425" t="s">
        <v>1215</v>
      </c>
    </row>
    <row r="426" spans="1:16" x14ac:dyDescent="0.3">
      <c r="A426" t="s">
        <v>169</v>
      </c>
      <c r="B426">
        <v>43609.57</v>
      </c>
      <c r="C426">
        <v>34634.720000000001</v>
      </c>
      <c r="D426" s="1">
        <v>43833</v>
      </c>
      <c r="E426" t="s">
        <v>23</v>
      </c>
      <c r="F426" t="s">
        <v>373</v>
      </c>
      <c r="G426" t="s">
        <v>171</v>
      </c>
      <c r="H426" t="s">
        <v>298</v>
      </c>
      <c r="I426" t="s">
        <v>27</v>
      </c>
      <c r="J426" t="s">
        <v>581</v>
      </c>
      <c r="K426">
        <v>8974.85</v>
      </c>
      <c r="L426">
        <v>0.205800011327789</v>
      </c>
      <c r="M426">
        <v>2020</v>
      </c>
      <c r="N426" t="s">
        <v>1177</v>
      </c>
      <c r="O426">
        <v>1</v>
      </c>
      <c r="P426" t="s">
        <v>1217</v>
      </c>
    </row>
    <row r="427" spans="1:16" x14ac:dyDescent="0.3">
      <c r="A427" t="s">
        <v>151</v>
      </c>
      <c r="B427">
        <v>165709.19</v>
      </c>
      <c r="C427">
        <v>138102.04</v>
      </c>
      <c r="D427" s="1">
        <v>44084</v>
      </c>
      <c r="E427" t="s">
        <v>51</v>
      </c>
      <c r="F427" t="s">
        <v>314</v>
      </c>
      <c r="G427" t="s">
        <v>152</v>
      </c>
      <c r="H427" t="s">
        <v>197</v>
      </c>
      <c r="I427" t="s">
        <v>27</v>
      </c>
      <c r="J427" t="s">
        <v>582</v>
      </c>
      <c r="K427">
        <v>27607.15</v>
      </c>
      <c r="L427">
        <v>0.16659999363945999</v>
      </c>
      <c r="M427">
        <v>2020</v>
      </c>
      <c r="N427" t="s">
        <v>1175</v>
      </c>
      <c r="O427">
        <v>9</v>
      </c>
      <c r="P427" t="s">
        <v>1216</v>
      </c>
    </row>
    <row r="428" spans="1:16" x14ac:dyDescent="0.3">
      <c r="A428" t="s">
        <v>22</v>
      </c>
      <c r="B428">
        <v>57367.93</v>
      </c>
      <c r="C428">
        <v>46255.76</v>
      </c>
      <c r="D428" s="1">
        <v>43766</v>
      </c>
      <c r="E428" t="s">
        <v>40</v>
      </c>
      <c r="F428" t="s">
        <v>74</v>
      </c>
      <c r="G428" t="s">
        <v>25</v>
      </c>
      <c r="H428" t="s">
        <v>52</v>
      </c>
      <c r="I428" t="s">
        <v>32</v>
      </c>
      <c r="J428" t="s">
        <v>583</v>
      </c>
      <c r="K428">
        <v>11112.17</v>
      </c>
      <c r="L428">
        <v>0.193700034147999</v>
      </c>
      <c r="M428">
        <v>2019</v>
      </c>
      <c r="N428" t="s">
        <v>1178</v>
      </c>
      <c r="O428">
        <v>10</v>
      </c>
      <c r="P428" t="s">
        <v>1216</v>
      </c>
    </row>
    <row r="429" spans="1:16" x14ac:dyDescent="0.3">
      <c r="A429" t="s">
        <v>34</v>
      </c>
      <c r="B429">
        <v>222700.23</v>
      </c>
      <c r="C429">
        <v>194951.78</v>
      </c>
      <c r="D429" s="1">
        <v>44177</v>
      </c>
      <c r="E429" t="s">
        <v>23</v>
      </c>
      <c r="F429" t="s">
        <v>56</v>
      </c>
      <c r="G429" t="s">
        <v>36</v>
      </c>
      <c r="H429" t="s">
        <v>37</v>
      </c>
      <c r="I429" t="s">
        <v>32</v>
      </c>
      <c r="J429" t="s">
        <v>584</v>
      </c>
      <c r="K429">
        <v>27748.45</v>
      </c>
      <c r="L429">
        <v>0.124600006026038</v>
      </c>
      <c r="M429">
        <v>2020</v>
      </c>
      <c r="N429" t="s">
        <v>1182</v>
      </c>
      <c r="O429">
        <v>12</v>
      </c>
      <c r="P429" t="s">
        <v>1217</v>
      </c>
    </row>
    <row r="430" spans="1:16" x14ac:dyDescent="0.3">
      <c r="A430" t="s">
        <v>22</v>
      </c>
      <c r="B430">
        <v>97514.7</v>
      </c>
      <c r="C430">
        <v>80790.929999999993</v>
      </c>
      <c r="D430" s="1">
        <v>44167</v>
      </c>
      <c r="E430" t="s">
        <v>23</v>
      </c>
      <c r="F430" t="s">
        <v>133</v>
      </c>
      <c r="G430" t="s">
        <v>25</v>
      </c>
      <c r="H430" t="s">
        <v>63</v>
      </c>
      <c r="I430" t="s">
        <v>27</v>
      </c>
      <c r="J430" t="s">
        <v>585</v>
      </c>
      <c r="K430">
        <v>16723.77</v>
      </c>
      <c r="L430">
        <v>0.17149998923239301</v>
      </c>
      <c r="M430">
        <v>2020</v>
      </c>
      <c r="N430" t="s">
        <v>1182</v>
      </c>
      <c r="O430">
        <v>12</v>
      </c>
      <c r="P430" t="s">
        <v>1217</v>
      </c>
    </row>
    <row r="431" spans="1:16" x14ac:dyDescent="0.3">
      <c r="A431" t="s">
        <v>34</v>
      </c>
      <c r="B431">
        <v>99064.31</v>
      </c>
      <c r="C431">
        <v>85393.44</v>
      </c>
      <c r="D431" s="1">
        <v>44111</v>
      </c>
      <c r="E431" t="s">
        <v>91</v>
      </c>
      <c r="F431" t="s">
        <v>56</v>
      </c>
      <c r="G431" t="s">
        <v>36</v>
      </c>
      <c r="H431" t="s">
        <v>104</v>
      </c>
      <c r="I431" t="s">
        <v>27</v>
      </c>
      <c r="J431" t="s">
        <v>586</v>
      </c>
      <c r="K431">
        <v>13670.87</v>
      </c>
      <c r="L431">
        <v>0.13799995174851601</v>
      </c>
      <c r="M431">
        <v>2020</v>
      </c>
      <c r="N431" t="s">
        <v>1178</v>
      </c>
      <c r="O431">
        <v>10</v>
      </c>
      <c r="P431" t="s">
        <v>1216</v>
      </c>
    </row>
    <row r="432" spans="1:16" x14ac:dyDescent="0.3">
      <c r="A432" t="s">
        <v>22</v>
      </c>
      <c r="B432">
        <v>254883.03</v>
      </c>
      <c r="C432">
        <v>213413.56</v>
      </c>
      <c r="D432" s="1">
        <v>43811</v>
      </c>
      <c r="E432" t="s">
        <v>23</v>
      </c>
      <c r="F432" t="s">
        <v>92</v>
      </c>
      <c r="G432" t="s">
        <v>25</v>
      </c>
      <c r="H432" t="s">
        <v>26</v>
      </c>
      <c r="I432" t="s">
        <v>27</v>
      </c>
      <c r="J432" t="s">
        <v>587</v>
      </c>
      <c r="K432">
        <v>41469.47</v>
      </c>
      <c r="L432">
        <v>0.16270000399791201</v>
      </c>
      <c r="M432">
        <v>2019</v>
      </c>
      <c r="N432" t="s">
        <v>1182</v>
      </c>
      <c r="O432">
        <v>12</v>
      </c>
      <c r="P432" t="s">
        <v>1217</v>
      </c>
    </row>
    <row r="433" spans="1:16" x14ac:dyDescent="0.3">
      <c r="A433" t="s">
        <v>129</v>
      </c>
      <c r="B433">
        <v>154078.75</v>
      </c>
      <c r="C433">
        <v>131336.73000000001</v>
      </c>
      <c r="D433" s="1">
        <v>43960</v>
      </c>
      <c r="E433" t="s">
        <v>91</v>
      </c>
      <c r="F433" t="s">
        <v>83</v>
      </c>
      <c r="G433" t="s">
        <v>130</v>
      </c>
      <c r="H433" t="s">
        <v>159</v>
      </c>
      <c r="I433" t="s">
        <v>27</v>
      </c>
      <c r="J433" t="s">
        <v>588</v>
      </c>
      <c r="K433">
        <v>22742.02</v>
      </c>
      <c r="L433">
        <v>0.14759997728434299</v>
      </c>
      <c r="M433">
        <v>2020</v>
      </c>
      <c r="N433" t="s">
        <v>1173</v>
      </c>
      <c r="O433">
        <v>5</v>
      </c>
      <c r="P433" t="s">
        <v>1215</v>
      </c>
    </row>
    <row r="434" spans="1:16" x14ac:dyDescent="0.3">
      <c r="A434" t="s">
        <v>151</v>
      </c>
      <c r="B434">
        <v>168178.03</v>
      </c>
      <c r="C434">
        <v>142665.42000000001</v>
      </c>
      <c r="D434" s="1">
        <v>43950</v>
      </c>
      <c r="E434" t="s">
        <v>40</v>
      </c>
      <c r="F434" t="s">
        <v>373</v>
      </c>
      <c r="G434" t="s">
        <v>152</v>
      </c>
      <c r="H434" t="s">
        <v>197</v>
      </c>
      <c r="I434" t="s">
        <v>27</v>
      </c>
      <c r="J434" t="s">
        <v>589</v>
      </c>
      <c r="K434">
        <v>25512.61</v>
      </c>
      <c r="L434">
        <v>0.15170001694038199</v>
      </c>
      <c r="M434">
        <v>2020</v>
      </c>
      <c r="N434" t="s">
        <v>1172</v>
      </c>
      <c r="O434">
        <v>4</v>
      </c>
      <c r="P434" t="s">
        <v>1215</v>
      </c>
    </row>
    <row r="435" spans="1:16" x14ac:dyDescent="0.3">
      <c r="A435" t="s">
        <v>17</v>
      </c>
      <c r="B435">
        <v>99132.04</v>
      </c>
      <c r="C435">
        <v>78819.89</v>
      </c>
      <c r="D435" s="1">
        <v>43911</v>
      </c>
      <c r="E435" t="s">
        <v>51</v>
      </c>
      <c r="F435" t="s">
        <v>30</v>
      </c>
      <c r="G435" t="s">
        <v>19</v>
      </c>
      <c r="H435" t="s">
        <v>49</v>
      </c>
      <c r="I435" t="s">
        <v>27</v>
      </c>
      <c r="J435" t="s">
        <v>590</v>
      </c>
      <c r="K435">
        <v>20312.150000000001</v>
      </c>
      <c r="L435">
        <v>0.20489994960256999</v>
      </c>
      <c r="M435">
        <v>2020</v>
      </c>
      <c r="N435" t="s">
        <v>1176</v>
      </c>
      <c r="O435">
        <v>3</v>
      </c>
      <c r="P435" t="s">
        <v>1215</v>
      </c>
    </row>
    <row r="436" spans="1:16" x14ac:dyDescent="0.3">
      <c r="A436" t="s">
        <v>151</v>
      </c>
      <c r="B436">
        <v>292124.64</v>
      </c>
      <c r="C436">
        <v>245822.88</v>
      </c>
      <c r="D436" s="1">
        <v>43720</v>
      </c>
      <c r="E436" t="s">
        <v>76</v>
      </c>
      <c r="F436" t="s">
        <v>222</v>
      </c>
      <c r="G436" t="s">
        <v>152</v>
      </c>
      <c r="H436" t="s">
        <v>153</v>
      </c>
      <c r="I436" t="s">
        <v>27</v>
      </c>
      <c r="J436" t="s">
        <v>591</v>
      </c>
      <c r="K436">
        <v>46301.760000000002</v>
      </c>
      <c r="L436">
        <v>0.158500015609775</v>
      </c>
      <c r="M436">
        <v>2019</v>
      </c>
      <c r="N436" t="s">
        <v>1175</v>
      </c>
      <c r="O436">
        <v>9</v>
      </c>
      <c r="P436" t="s">
        <v>1216</v>
      </c>
    </row>
    <row r="437" spans="1:16" x14ac:dyDescent="0.3">
      <c r="A437" t="s">
        <v>10</v>
      </c>
      <c r="B437">
        <v>37081.31</v>
      </c>
      <c r="C437">
        <v>31304.04</v>
      </c>
      <c r="D437" s="1">
        <v>43772</v>
      </c>
      <c r="E437" t="s">
        <v>76</v>
      </c>
      <c r="F437" t="s">
        <v>211</v>
      </c>
      <c r="G437" t="s">
        <v>13</v>
      </c>
      <c r="H437" t="s">
        <v>81</v>
      </c>
      <c r="I437" t="s">
        <v>27</v>
      </c>
      <c r="J437" t="s">
        <v>592</v>
      </c>
      <c r="K437">
        <v>5777.27</v>
      </c>
      <c r="L437">
        <v>0.15580005129268601</v>
      </c>
      <c r="M437">
        <v>2019</v>
      </c>
      <c r="N437" t="s">
        <v>1180</v>
      </c>
      <c r="O437">
        <v>11</v>
      </c>
      <c r="P437" t="s">
        <v>1216</v>
      </c>
    </row>
    <row r="438" spans="1:16" x14ac:dyDescent="0.3">
      <c r="A438" t="s">
        <v>22</v>
      </c>
      <c r="B438">
        <v>105374.44</v>
      </c>
      <c r="C438">
        <v>89779.02</v>
      </c>
      <c r="D438" s="1">
        <v>43879</v>
      </c>
      <c r="E438" t="s">
        <v>29</v>
      </c>
      <c r="F438" t="s">
        <v>292</v>
      </c>
      <c r="G438" t="s">
        <v>25</v>
      </c>
      <c r="H438" t="s">
        <v>87</v>
      </c>
      <c r="I438" t="s">
        <v>27</v>
      </c>
      <c r="J438" t="s">
        <v>593</v>
      </c>
      <c r="K438">
        <v>15595.42</v>
      </c>
      <c r="L438">
        <v>0.14800002733110601</v>
      </c>
      <c r="M438">
        <v>2020</v>
      </c>
      <c r="N438" t="s">
        <v>1181</v>
      </c>
      <c r="O438">
        <v>2</v>
      </c>
      <c r="P438" t="s">
        <v>1217</v>
      </c>
    </row>
    <row r="439" spans="1:16" x14ac:dyDescent="0.3">
      <c r="A439" t="s">
        <v>17</v>
      </c>
      <c r="B439">
        <v>176114.73</v>
      </c>
      <c r="C439">
        <v>149257.23000000001</v>
      </c>
      <c r="D439" s="1">
        <v>44159</v>
      </c>
      <c r="E439" t="s">
        <v>29</v>
      </c>
      <c r="F439" t="s">
        <v>56</v>
      </c>
      <c r="G439" t="s">
        <v>19</v>
      </c>
      <c r="H439" t="s">
        <v>78</v>
      </c>
      <c r="I439" t="s">
        <v>27</v>
      </c>
      <c r="J439" t="s">
        <v>594</v>
      </c>
      <c r="K439">
        <v>26857.5</v>
      </c>
      <c r="L439">
        <v>0.15250002086707901</v>
      </c>
      <c r="M439">
        <v>2020</v>
      </c>
      <c r="N439" t="s">
        <v>1180</v>
      </c>
      <c r="O439">
        <v>11</v>
      </c>
      <c r="P439" t="s">
        <v>1216</v>
      </c>
    </row>
    <row r="440" spans="1:16" x14ac:dyDescent="0.3">
      <c r="A440" t="s">
        <v>34</v>
      </c>
      <c r="B440">
        <v>33724.53</v>
      </c>
      <c r="C440">
        <v>26770.53</v>
      </c>
      <c r="D440" s="1">
        <v>43860</v>
      </c>
      <c r="E440" t="s">
        <v>76</v>
      </c>
      <c r="F440" t="s">
        <v>595</v>
      </c>
      <c r="G440" t="s">
        <v>36</v>
      </c>
      <c r="H440" t="s">
        <v>104</v>
      </c>
      <c r="I440" t="s">
        <v>32</v>
      </c>
      <c r="J440" t="s">
        <v>596</v>
      </c>
      <c r="K440">
        <v>6954</v>
      </c>
      <c r="L440">
        <v>0.20620005675394101</v>
      </c>
      <c r="M440">
        <v>2020</v>
      </c>
      <c r="N440" t="s">
        <v>1177</v>
      </c>
      <c r="O440">
        <v>1</v>
      </c>
      <c r="P440" t="s">
        <v>1217</v>
      </c>
    </row>
    <row r="441" spans="1:16" x14ac:dyDescent="0.3">
      <c r="A441" t="s">
        <v>129</v>
      </c>
      <c r="B441">
        <v>194531.02</v>
      </c>
      <c r="C441">
        <v>158970.75</v>
      </c>
      <c r="D441" s="1">
        <v>43715</v>
      </c>
      <c r="E441" t="s">
        <v>40</v>
      </c>
      <c r="F441" t="s">
        <v>400</v>
      </c>
      <c r="G441" t="s">
        <v>130</v>
      </c>
      <c r="H441" t="s">
        <v>131</v>
      </c>
      <c r="I441" t="s">
        <v>15</v>
      </c>
      <c r="J441" t="s">
        <v>597</v>
      </c>
      <c r="K441">
        <v>35560.269999999997</v>
      </c>
      <c r="L441">
        <v>0.18279999765590099</v>
      </c>
      <c r="M441">
        <v>2019</v>
      </c>
      <c r="N441" t="s">
        <v>1175</v>
      </c>
      <c r="O441">
        <v>9</v>
      </c>
      <c r="P441" t="s">
        <v>1216</v>
      </c>
    </row>
    <row r="442" spans="1:16" x14ac:dyDescent="0.3">
      <c r="A442" t="s">
        <v>17</v>
      </c>
      <c r="B442">
        <v>171458.64</v>
      </c>
      <c r="C442">
        <v>148877.54</v>
      </c>
      <c r="D442" s="1">
        <v>43693</v>
      </c>
      <c r="E442" t="s">
        <v>91</v>
      </c>
      <c r="F442" t="s">
        <v>139</v>
      </c>
      <c r="G442" t="s">
        <v>19</v>
      </c>
      <c r="H442" t="s">
        <v>31</v>
      </c>
      <c r="I442" t="s">
        <v>27</v>
      </c>
      <c r="J442" t="s">
        <v>598</v>
      </c>
      <c r="K442">
        <v>22581.1</v>
      </c>
      <c r="L442">
        <v>0.131699983156288</v>
      </c>
      <c r="M442">
        <v>2019</v>
      </c>
      <c r="N442" t="s">
        <v>1171</v>
      </c>
      <c r="O442">
        <v>8</v>
      </c>
      <c r="P442" t="s">
        <v>1214</v>
      </c>
    </row>
    <row r="443" spans="1:16" x14ac:dyDescent="0.3">
      <c r="A443" t="s">
        <v>22</v>
      </c>
      <c r="B443">
        <v>97641.25</v>
      </c>
      <c r="C443">
        <v>83414.92</v>
      </c>
      <c r="D443" s="1">
        <v>44121</v>
      </c>
      <c r="E443" t="s">
        <v>91</v>
      </c>
      <c r="F443" t="s">
        <v>113</v>
      </c>
      <c r="G443" t="s">
        <v>25</v>
      </c>
      <c r="H443" t="s">
        <v>87</v>
      </c>
      <c r="I443" t="s">
        <v>27</v>
      </c>
      <c r="J443" t="s">
        <v>599</v>
      </c>
      <c r="K443">
        <v>14226.33</v>
      </c>
      <c r="L443">
        <v>0.14569999871980299</v>
      </c>
      <c r="M443">
        <v>2020</v>
      </c>
      <c r="N443" t="s">
        <v>1178</v>
      </c>
      <c r="O443">
        <v>10</v>
      </c>
      <c r="P443" t="s">
        <v>1216</v>
      </c>
    </row>
    <row r="444" spans="1:16" x14ac:dyDescent="0.3">
      <c r="A444" t="s">
        <v>17</v>
      </c>
      <c r="B444">
        <v>150287.47</v>
      </c>
      <c r="C444">
        <v>123611.44</v>
      </c>
      <c r="D444" s="1">
        <v>43959</v>
      </c>
      <c r="E444" t="s">
        <v>91</v>
      </c>
      <c r="F444" t="s">
        <v>62</v>
      </c>
      <c r="G444" t="s">
        <v>19</v>
      </c>
      <c r="H444" t="s">
        <v>49</v>
      </c>
      <c r="I444" t="s">
        <v>27</v>
      </c>
      <c r="J444" t="s">
        <v>600</v>
      </c>
      <c r="K444">
        <v>26676.03</v>
      </c>
      <c r="L444">
        <v>0.177500027114702</v>
      </c>
      <c r="M444">
        <v>2020</v>
      </c>
      <c r="N444" t="s">
        <v>1173</v>
      </c>
      <c r="O444">
        <v>5</v>
      </c>
      <c r="P444" t="s">
        <v>1215</v>
      </c>
    </row>
    <row r="445" spans="1:16" x14ac:dyDescent="0.3">
      <c r="A445" t="s">
        <v>34</v>
      </c>
      <c r="B445">
        <v>156585.22</v>
      </c>
      <c r="C445">
        <v>126599.15</v>
      </c>
      <c r="D445" s="1">
        <v>44073</v>
      </c>
      <c r="E445" t="s">
        <v>55</v>
      </c>
      <c r="F445" t="s">
        <v>285</v>
      </c>
      <c r="G445" t="s">
        <v>36</v>
      </c>
      <c r="H445" t="s">
        <v>104</v>
      </c>
      <c r="I445" t="s">
        <v>27</v>
      </c>
      <c r="J445" t="s">
        <v>601</v>
      </c>
      <c r="K445">
        <v>29986.07</v>
      </c>
      <c r="L445">
        <v>0.19150000236293099</v>
      </c>
      <c r="M445">
        <v>2020</v>
      </c>
      <c r="N445" t="s">
        <v>1171</v>
      </c>
      <c r="O445">
        <v>8</v>
      </c>
      <c r="P445" t="s">
        <v>1214</v>
      </c>
    </row>
    <row r="446" spans="1:16" x14ac:dyDescent="0.3">
      <c r="A446" t="s">
        <v>10</v>
      </c>
      <c r="B446">
        <v>66225.710000000006</v>
      </c>
      <c r="C446">
        <v>52437.52</v>
      </c>
      <c r="D446" s="1">
        <v>43960</v>
      </c>
      <c r="E446" t="s">
        <v>91</v>
      </c>
      <c r="F446" t="s">
        <v>244</v>
      </c>
      <c r="G446" t="s">
        <v>13</v>
      </c>
      <c r="H446" t="s">
        <v>46</v>
      </c>
      <c r="I446" t="s">
        <v>27</v>
      </c>
      <c r="J446" t="s">
        <v>602</v>
      </c>
      <c r="K446">
        <v>13788.19</v>
      </c>
      <c r="L446">
        <v>0.20819995738815</v>
      </c>
      <c r="M446">
        <v>2020</v>
      </c>
      <c r="N446" t="s">
        <v>1173</v>
      </c>
      <c r="O446">
        <v>5</v>
      </c>
      <c r="P446" t="s">
        <v>1215</v>
      </c>
    </row>
    <row r="447" spans="1:16" x14ac:dyDescent="0.3">
      <c r="A447" t="s">
        <v>17</v>
      </c>
      <c r="B447">
        <v>167935.31</v>
      </c>
      <c r="C447">
        <v>137942.06</v>
      </c>
      <c r="D447" s="1">
        <v>43573</v>
      </c>
      <c r="E447" t="s">
        <v>11</v>
      </c>
      <c r="F447" t="s">
        <v>164</v>
      </c>
      <c r="G447" t="s">
        <v>19</v>
      </c>
      <c r="H447" t="s">
        <v>20</v>
      </c>
      <c r="I447" t="s">
        <v>27</v>
      </c>
      <c r="J447" t="s">
        <v>603</v>
      </c>
      <c r="K447">
        <v>29993.25</v>
      </c>
      <c r="L447">
        <v>0.17860002163928501</v>
      </c>
      <c r="M447">
        <v>2019</v>
      </c>
      <c r="N447" t="s">
        <v>1172</v>
      </c>
      <c r="O447">
        <v>4</v>
      </c>
      <c r="P447" t="s">
        <v>1215</v>
      </c>
    </row>
    <row r="448" spans="1:16" x14ac:dyDescent="0.3">
      <c r="A448" t="s">
        <v>17</v>
      </c>
      <c r="B448">
        <v>35437.89</v>
      </c>
      <c r="C448">
        <v>30412.799999999999</v>
      </c>
      <c r="D448" s="1">
        <v>43892</v>
      </c>
      <c r="E448" t="s">
        <v>40</v>
      </c>
      <c r="F448" t="s">
        <v>189</v>
      </c>
      <c r="G448" t="s">
        <v>19</v>
      </c>
      <c r="H448" t="s">
        <v>157</v>
      </c>
      <c r="I448" t="s">
        <v>27</v>
      </c>
      <c r="J448" t="s">
        <v>604</v>
      </c>
      <c r="K448">
        <v>5025.09</v>
      </c>
      <c r="L448">
        <v>0.14179992093208699</v>
      </c>
      <c r="M448">
        <v>2020</v>
      </c>
      <c r="N448" t="s">
        <v>1176</v>
      </c>
      <c r="O448">
        <v>3</v>
      </c>
      <c r="P448" t="s">
        <v>1215</v>
      </c>
    </row>
    <row r="449" spans="1:16" x14ac:dyDescent="0.3">
      <c r="A449" t="s">
        <v>22</v>
      </c>
      <c r="B449">
        <v>133072</v>
      </c>
      <c r="C449">
        <v>108600.06</v>
      </c>
      <c r="D449" s="1">
        <v>44132</v>
      </c>
      <c r="E449" t="s">
        <v>181</v>
      </c>
      <c r="F449" t="s">
        <v>67</v>
      </c>
      <c r="G449" t="s">
        <v>25</v>
      </c>
      <c r="H449" t="s">
        <v>26</v>
      </c>
      <c r="I449" t="s">
        <v>27</v>
      </c>
      <c r="J449" t="s">
        <v>605</v>
      </c>
      <c r="K449">
        <v>24471.94</v>
      </c>
      <c r="L449">
        <v>0.18389999398821699</v>
      </c>
      <c r="M449">
        <v>2020</v>
      </c>
      <c r="N449" t="s">
        <v>1178</v>
      </c>
      <c r="O449">
        <v>10</v>
      </c>
      <c r="P449" t="s">
        <v>1216</v>
      </c>
    </row>
    <row r="450" spans="1:16" x14ac:dyDescent="0.3">
      <c r="A450" t="s">
        <v>17</v>
      </c>
      <c r="B450">
        <v>95307.21</v>
      </c>
      <c r="C450">
        <v>78533.14</v>
      </c>
      <c r="D450" s="1">
        <v>43916</v>
      </c>
      <c r="E450" t="s">
        <v>91</v>
      </c>
      <c r="F450" t="s">
        <v>126</v>
      </c>
      <c r="G450" t="s">
        <v>19</v>
      </c>
      <c r="H450" t="s">
        <v>20</v>
      </c>
      <c r="I450" t="s">
        <v>27</v>
      </c>
      <c r="J450" t="s">
        <v>606</v>
      </c>
      <c r="K450">
        <v>16774.07</v>
      </c>
      <c r="L450">
        <v>0.17600001091208101</v>
      </c>
      <c r="M450">
        <v>2020</v>
      </c>
      <c r="N450" t="s">
        <v>1176</v>
      </c>
      <c r="O450">
        <v>3</v>
      </c>
      <c r="P450" t="s">
        <v>1215</v>
      </c>
    </row>
    <row r="451" spans="1:16" x14ac:dyDescent="0.3">
      <c r="A451" t="s">
        <v>34</v>
      </c>
      <c r="B451">
        <v>36534.089999999997</v>
      </c>
      <c r="C451">
        <v>31138</v>
      </c>
      <c r="D451" s="1">
        <v>44029</v>
      </c>
      <c r="E451" t="s">
        <v>23</v>
      </c>
      <c r="F451" t="s">
        <v>269</v>
      </c>
      <c r="G451" t="s">
        <v>36</v>
      </c>
      <c r="H451" t="s">
        <v>104</v>
      </c>
      <c r="I451" t="s">
        <v>27</v>
      </c>
      <c r="J451" t="s">
        <v>607</v>
      </c>
      <c r="K451">
        <v>5396.09</v>
      </c>
      <c r="L451">
        <v>0.14770013431291201</v>
      </c>
      <c r="M451">
        <v>2020</v>
      </c>
      <c r="N451" t="s">
        <v>1174</v>
      </c>
      <c r="O451">
        <v>7</v>
      </c>
      <c r="P451" t="s">
        <v>1214</v>
      </c>
    </row>
    <row r="452" spans="1:16" x14ac:dyDescent="0.3">
      <c r="A452" t="s">
        <v>22</v>
      </c>
      <c r="B452">
        <v>98746.66</v>
      </c>
      <c r="C452">
        <v>80399.53</v>
      </c>
      <c r="D452" s="1">
        <v>44106</v>
      </c>
      <c r="E452" t="s">
        <v>23</v>
      </c>
      <c r="F452" t="s">
        <v>314</v>
      </c>
      <c r="G452" t="s">
        <v>25</v>
      </c>
      <c r="H452" t="s">
        <v>167</v>
      </c>
      <c r="I452" t="s">
        <v>27</v>
      </c>
      <c r="J452" t="s">
        <v>608</v>
      </c>
      <c r="K452">
        <v>18347.13</v>
      </c>
      <c r="L452">
        <v>0.185800005792601</v>
      </c>
      <c r="M452">
        <v>2020</v>
      </c>
      <c r="N452" t="s">
        <v>1178</v>
      </c>
      <c r="O452">
        <v>10</v>
      </c>
      <c r="P452" t="s">
        <v>1216</v>
      </c>
    </row>
    <row r="453" spans="1:16" x14ac:dyDescent="0.3">
      <c r="A453" t="s">
        <v>129</v>
      </c>
      <c r="B453">
        <v>133057.07</v>
      </c>
      <c r="C453">
        <v>113351.32</v>
      </c>
      <c r="D453" s="1">
        <v>43895</v>
      </c>
      <c r="E453" t="s">
        <v>99</v>
      </c>
      <c r="F453" t="s">
        <v>45</v>
      </c>
      <c r="G453" t="s">
        <v>130</v>
      </c>
      <c r="H453" t="s">
        <v>159</v>
      </c>
      <c r="I453" t="s">
        <v>27</v>
      </c>
      <c r="J453" t="s">
        <v>609</v>
      </c>
      <c r="K453">
        <v>19705.75</v>
      </c>
      <c r="L453">
        <v>0.148099984465312</v>
      </c>
      <c r="M453">
        <v>2020</v>
      </c>
      <c r="N453" t="s">
        <v>1176</v>
      </c>
      <c r="O453">
        <v>3</v>
      </c>
      <c r="P453" t="s">
        <v>1215</v>
      </c>
    </row>
    <row r="454" spans="1:16" x14ac:dyDescent="0.3">
      <c r="A454" t="s">
        <v>17</v>
      </c>
      <c r="B454">
        <v>197581.29</v>
      </c>
      <c r="C454">
        <v>169485.23</v>
      </c>
      <c r="D454" s="1">
        <v>43812</v>
      </c>
      <c r="E454" t="s">
        <v>29</v>
      </c>
      <c r="F454" t="s">
        <v>222</v>
      </c>
      <c r="G454" t="s">
        <v>19</v>
      </c>
      <c r="H454" t="s">
        <v>157</v>
      </c>
      <c r="I454" t="s">
        <v>27</v>
      </c>
      <c r="J454" t="s">
        <v>610</v>
      </c>
      <c r="K454">
        <v>28096.06</v>
      </c>
      <c r="L454">
        <v>0.14220000284439899</v>
      </c>
      <c r="M454">
        <v>2019</v>
      </c>
      <c r="N454" t="s">
        <v>1182</v>
      </c>
      <c r="O454">
        <v>12</v>
      </c>
      <c r="P454" t="s">
        <v>1217</v>
      </c>
    </row>
    <row r="455" spans="1:16" x14ac:dyDescent="0.3">
      <c r="A455" t="s">
        <v>247</v>
      </c>
      <c r="B455">
        <v>93153.98</v>
      </c>
      <c r="C455">
        <v>79702.55</v>
      </c>
      <c r="D455" s="1">
        <v>43894</v>
      </c>
      <c r="E455" t="s">
        <v>23</v>
      </c>
      <c r="F455" t="s">
        <v>126</v>
      </c>
      <c r="G455" t="s">
        <v>248</v>
      </c>
      <c r="H455" t="s">
        <v>249</v>
      </c>
      <c r="I455" t="s">
        <v>32</v>
      </c>
      <c r="J455" t="s">
        <v>611</v>
      </c>
      <c r="K455">
        <v>13451.43</v>
      </c>
      <c r="L455">
        <v>0.14439994941708301</v>
      </c>
      <c r="M455">
        <v>2020</v>
      </c>
      <c r="N455" t="s">
        <v>1176</v>
      </c>
      <c r="O455">
        <v>3</v>
      </c>
      <c r="P455" t="s">
        <v>1215</v>
      </c>
    </row>
    <row r="456" spans="1:16" x14ac:dyDescent="0.3">
      <c r="A456" t="s">
        <v>22</v>
      </c>
      <c r="B456">
        <v>53181.88</v>
      </c>
      <c r="C456">
        <v>42316.82</v>
      </c>
      <c r="D456" s="1">
        <v>43983</v>
      </c>
      <c r="E456" t="s">
        <v>51</v>
      </c>
      <c r="F456" t="s">
        <v>222</v>
      </c>
      <c r="G456" t="s">
        <v>25</v>
      </c>
      <c r="H456" t="s">
        <v>63</v>
      </c>
      <c r="I456" t="s">
        <v>27</v>
      </c>
      <c r="J456" t="s">
        <v>612</v>
      </c>
      <c r="K456">
        <v>10865.06</v>
      </c>
      <c r="L456">
        <v>0.20430003602730901</v>
      </c>
      <c r="M456">
        <v>2020</v>
      </c>
      <c r="N456" t="s">
        <v>1179</v>
      </c>
      <c r="O456">
        <v>6</v>
      </c>
      <c r="P456" t="s">
        <v>1214</v>
      </c>
    </row>
    <row r="457" spans="1:16" x14ac:dyDescent="0.3">
      <c r="A457" t="s">
        <v>34</v>
      </c>
      <c r="B457">
        <v>112491.58</v>
      </c>
      <c r="C457">
        <v>92254.34</v>
      </c>
      <c r="D457" s="1">
        <v>43762</v>
      </c>
      <c r="E457" t="s">
        <v>23</v>
      </c>
      <c r="F457" t="s">
        <v>106</v>
      </c>
      <c r="G457" t="s">
        <v>36</v>
      </c>
      <c r="H457" t="s">
        <v>37</v>
      </c>
      <c r="I457" t="s">
        <v>32</v>
      </c>
      <c r="J457" t="s">
        <v>613</v>
      </c>
      <c r="K457">
        <v>20237.240000000002</v>
      </c>
      <c r="L457">
        <v>0.179900042296499</v>
      </c>
      <c r="M457">
        <v>2019</v>
      </c>
      <c r="N457" t="s">
        <v>1178</v>
      </c>
      <c r="O457">
        <v>10</v>
      </c>
      <c r="P457" t="s">
        <v>1216</v>
      </c>
    </row>
    <row r="458" spans="1:16" x14ac:dyDescent="0.3">
      <c r="A458" t="s">
        <v>22</v>
      </c>
      <c r="B458">
        <v>56570.64</v>
      </c>
      <c r="C458">
        <v>46993.23</v>
      </c>
      <c r="D458" s="1">
        <v>43961</v>
      </c>
      <c r="E458" t="s">
        <v>91</v>
      </c>
      <c r="F458" t="s">
        <v>461</v>
      </c>
      <c r="G458" t="s">
        <v>25</v>
      </c>
      <c r="H458" t="s">
        <v>167</v>
      </c>
      <c r="I458" t="s">
        <v>27</v>
      </c>
      <c r="J458" t="s">
        <v>614</v>
      </c>
      <c r="K458">
        <v>9577.41</v>
      </c>
      <c r="L458">
        <v>0.169300011454705</v>
      </c>
      <c r="M458">
        <v>2020</v>
      </c>
      <c r="N458" t="s">
        <v>1173</v>
      </c>
      <c r="O458">
        <v>5</v>
      </c>
      <c r="P458" t="s">
        <v>1215</v>
      </c>
    </row>
    <row r="459" spans="1:16" x14ac:dyDescent="0.3">
      <c r="A459" t="s">
        <v>17</v>
      </c>
      <c r="B459">
        <v>134243.39000000001</v>
      </c>
      <c r="C459">
        <v>113019.51</v>
      </c>
      <c r="D459" s="1">
        <v>43486</v>
      </c>
      <c r="E459" t="s">
        <v>76</v>
      </c>
      <c r="F459" t="s">
        <v>80</v>
      </c>
      <c r="G459" t="s">
        <v>19</v>
      </c>
      <c r="H459" t="s">
        <v>78</v>
      </c>
      <c r="I459" t="s">
        <v>27</v>
      </c>
      <c r="J459" t="s">
        <v>615</v>
      </c>
      <c r="K459">
        <v>21223.88</v>
      </c>
      <c r="L459">
        <v>0.15810000030541499</v>
      </c>
      <c r="M459">
        <v>2019</v>
      </c>
      <c r="N459" t="s">
        <v>1177</v>
      </c>
      <c r="O459">
        <v>1</v>
      </c>
      <c r="P459" t="s">
        <v>1217</v>
      </c>
    </row>
    <row r="460" spans="1:16" x14ac:dyDescent="0.3">
      <c r="A460" t="s">
        <v>22</v>
      </c>
      <c r="B460">
        <v>127482.28</v>
      </c>
      <c r="C460">
        <v>108614.9</v>
      </c>
      <c r="D460" s="1">
        <v>44069</v>
      </c>
      <c r="E460" t="s">
        <v>76</v>
      </c>
      <c r="F460" t="s">
        <v>256</v>
      </c>
      <c r="G460" t="s">
        <v>25</v>
      </c>
      <c r="H460" t="s">
        <v>52</v>
      </c>
      <c r="I460" t="s">
        <v>27</v>
      </c>
      <c r="J460" t="s">
        <v>616</v>
      </c>
      <c r="K460">
        <v>18867.38</v>
      </c>
      <c r="L460">
        <v>0.14800002008122201</v>
      </c>
      <c r="M460">
        <v>2020</v>
      </c>
      <c r="N460" t="s">
        <v>1171</v>
      </c>
      <c r="O460">
        <v>8</v>
      </c>
      <c r="P460" t="s">
        <v>1214</v>
      </c>
    </row>
    <row r="461" spans="1:16" x14ac:dyDescent="0.3">
      <c r="A461" t="s">
        <v>17</v>
      </c>
      <c r="B461">
        <v>155827.29999999999</v>
      </c>
      <c r="C461">
        <v>126360.36</v>
      </c>
      <c r="D461" s="1">
        <v>43585</v>
      </c>
      <c r="E461" t="s">
        <v>23</v>
      </c>
      <c r="F461" t="s">
        <v>256</v>
      </c>
      <c r="G461" t="s">
        <v>19</v>
      </c>
      <c r="H461" t="s">
        <v>49</v>
      </c>
      <c r="I461" t="s">
        <v>15</v>
      </c>
      <c r="J461" t="s">
        <v>617</v>
      </c>
      <c r="K461">
        <v>29466.94</v>
      </c>
      <c r="L461">
        <v>0.18909998440581299</v>
      </c>
      <c r="M461">
        <v>2019</v>
      </c>
      <c r="N461" t="s">
        <v>1172</v>
      </c>
      <c r="O461">
        <v>4</v>
      </c>
      <c r="P461" t="s">
        <v>1215</v>
      </c>
    </row>
    <row r="462" spans="1:16" x14ac:dyDescent="0.3">
      <c r="A462" t="s">
        <v>22</v>
      </c>
      <c r="B462">
        <v>115538.34</v>
      </c>
      <c r="C462">
        <v>99686.48</v>
      </c>
      <c r="D462" s="1">
        <v>43858</v>
      </c>
      <c r="E462" t="s">
        <v>11</v>
      </c>
      <c r="F462" t="s">
        <v>244</v>
      </c>
      <c r="G462" t="s">
        <v>25</v>
      </c>
      <c r="H462" t="s">
        <v>167</v>
      </c>
      <c r="I462" t="s">
        <v>27</v>
      </c>
      <c r="J462" t="s">
        <v>618</v>
      </c>
      <c r="K462">
        <v>15851.86</v>
      </c>
      <c r="L462">
        <v>0.13719999785352599</v>
      </c>
      <c r="M462">
        <v>2020</v>
      </c>
      <c r="N462" t="s">
        <v>1177</v>
      </c>
      <c r="O462">
        <v>1</v>
      </c>
      <c r="P462" t="s">
        <v>1217</v>
      </c>
    </row>
    <row r="463" spans="1:16" x14ac:dyDescent="0.3">
      <c r="A463" t="s">
        <v>22</v>
      </c>
      <c r="B463">
        <v>45725.53</v>
      </c>
      <c r="C463">
        <v>36571.279999999999</v>
      </c>
      <c r="D463" s="1">
        <v>44019</v>
      </c>
      <c r="E463" t="s">
        <v>99</v>
      </c>
      <c r="F463" t="s">
        <v>35</v>
      </c>
      <c r="G463" t="s">
        <v>25</v>
      </c>
      <c r="H463" t="s">
        <v>52</v>
      </c>
      <c r="I463" t="s">
        <v>32</v>
      </c>
      <c r="J463" t="s">
        <v>619</v>
      </c>
      <c r="K463">
        <v>9154.25</v>
      </c>
      <c r="L463">
        <v>0.200199975812199</v>
      </c>
      <c r="M463">
        <v>2020</v>
      </c>
      <c r="N463" t="s">
        <v>1174</v>
      </c>
      <c r="O463">
        <v>7</v>
      </c>
      <c r="P463" t="s">
        <v>1214</v>
      </c>
    </row>
    <row r="464" spans="1:16" x14ac:dyDescent="0.3">
      <c r="A464" t="s">
        <v>17</v>
      </c>
      <c r="B464">
        <v>57292.84</v>
      </c>
      <c r="C464">
        <v>45908.75</v>
      </c>
      <c r="D464" s="1">
        <v>43534</v>
      </c>
      <c r="E464" t="s">
        <v>29</v>
      </c>
      <c r="F464" t="s">
        <v>109</v>
      </c>
      <c r="G464" t="s">
        <v>19</v>
      </c>
      <c r="H464" t="s">
        <v>157</v>
      </c>
      <c r="I464" t="s">
        <v>27</v>
      </c>
      <c r="J464" t="s">
        <v>620</v>
      </c>
      <c r="K464">
        <v>11384.09</v>
      </c>
      <c r="L464">
        <v>0.19870004698667401</v>
      </c>
      <c r="M464">
        <v>2019</v>
      </c>
      <c r="N464" t="s">
        <v>1176</v>
      </c>
      <c r="O464">
        <v>3</v>
      </c>
      <c r="P464" t="s">
        <v>1215</v>
      </c>
    </row>
    <row r="465" spans="1:16" x14ac:dyDescent="0.3">
      <c r="A465" t="s">
        <v>22</v>
      </c>
      <c r="B465">
        <v>166367.16</v>
      </c>
      <c r="C465">
        <v>135788.88</v>
      </c>
      <c r="D465" s="1">
        <v>43872</v>
      </c>
      <c r="E465" t="s">
        <v>76</v>
      </c>
      <c r="F465" t="s">
        <v>18</v>
      </c>
      <c r="G465" t="s">
        <v>25</v>
      </c>
      <c r="H465" t="s">
        <v>167</v>
      </c>
      <c r="I465" t="s">
        <v>27</v>
      </c>
      <c r="J465" t="s">
        <v>621</v>
      </c>
      <c r="K465">
        <v>30578.28</v>
      </c>
      <c r="L465">
        <v>0.183799975908707</v>
      </c>
      <c r="M465">
        <v>2020</v>
      </c>
      <c r="N465" t="s">
        <v>1181</v>
      </c>
      <c r="O465">
        <v>2</v>
      </c>
      <c r="P465" t="s">
        <v>1217</v>
      </c>
    </row>
    <row r="466" spans="1:16" x14ac:dyDescent="0.3">
      <c r="A466" t="s">
        <v>17</v>
      </c>
      <c r="B466">
        <v>75264.84</v>
      </c>
      <c r="C466">
        <v>61694.59</v>
      </c>
      <c r="D466" s="1">
        <v>44090</v>
      </c>
      <c r="E466" t="s">
        <v>40</v>
      </c>
      <c r="F466" t="s">
        <v>133</v>
      </c>
      <c r="G466" t="s">
        <v>19</v>
      </c>
      <c r="H466" t="s">
        <v>157</v>
      </c>
      <c r="I466" t="s">
        <v>32</v>
      </c>
      <c r="J466" t="s">
        <v>622</v>
      </c>
      <c r="K466">
        <v>13570.25</v>
      </c>
      <c r="L466">
        <v>0.18029999133725699</v>
      </c>
      <c r="M466">
        <v>2020</v>
      </c>
      <c r="N466" t="s">
        <v>1175</v>
      </c>
      <c r="O466">
        <v>9</v>
      </c>
      <c r="P466" t="s">
        <v>1216</v>
      </c>
    </row>
    <row r="467" spans="1:16" x14ac:dyDescent="0.3">
      <c r="A467" t="s">
        <v>143</v>
      </c>
      <c r="B467">
        <v>77855.47</v>
      </c>
      <c r="C467">
        <v>63545.63</v>
      </c>
      <c r="D467" s="1">
        <v>43690</v>
      </c>
      <c r="E467" t="s">
        <v>181</v>
      </c>
      <c r="F467" t="s">
        <v>272</v>
      </c>
      <c r="G467" t="s">
        <v>145</v>
      </c>
      <c r="H467" t="s">
        <v>206</v>
      </c>
      <c r="I467" t="s">
        <v>27</v>
      </c>
      <c r="J467" t="s">
        <v>623</v>
      </c>
      <c r="K467">
        <v>14309.84</v>
      </c>
      <c r="L467">
        <v>0.183800059263659</v>
      </c>
      <c r="M467">
        <v>2019</v>
      </c>
      <c r="N467" t="s">
        <v>1171</v>
      </c>
      <c r="O467">
        <v>8</v>
      </c>
      <c r="P467" t="s">
        <v>1214</v>
      </c>
    </row>
    <row r="468" spans="1:16" x14ac:dyDescent="0.3">
      <c r="A468" t="s">
        <v>22</v>
      </c>
      <c r="B468">
        <v>119409.43</v>
      </c>
      <c r="C468">
        <v>102656.29</v>
      </c>
      <c r="D468" s="1">
        <v>43641</v>
      </c>
      <c r="E468" t="s">
        <v>29</v>
      </c>
      <c r="F468" t="s">
        <v>102</v>
      </c>
      <c r="G468" t="s">
        <v>25</v>
      </c>
      <c r="H468" t="s">
        <v>63</v>
      </c>
      <c r="I468" t="s">
        <v>27</v>
      </c>
      <c r="J468" t="s">
        <v>624</v>
      </c>
      <c r="K468">
        <v>16753.14</v>
      </c>
      <c r="L468">
        <v>0.140299974633494</v>
      </c>
      <c r="M468">
        <v>2019</v>
      </c>
      <c r="N468" t="s">
        <v>1179</v>
      </c>
      <c r="O468">
        <v>6</v>
      </c>
      <c r="P468" t="s">
        <v>1214</v>
      </c>
    </row>
    <row r="469" spans="1:16" x14ac:dyDescent="0.3">
      <c r="A469" t="s">
        <v>17</v>
      </c>
      <c r="B469">
        <v>85337.78</v>
      </c>
      <c r="C469">
        <v>72306.7</v>
      </c>
      <c r="D469" s="1">
        <v>43923</v>
      </c>
      <c r="E469" t="s">
        <v>23</v>
      </c>
      <c r="F469" t="s">
        <v>312</v>
      </c>
      <c r="G469" t="s">
        <v>19</v>
      </c>
      <c r="H469" t="s">
        <v>31</v>
      </c>
      <c r="I469" t="s">
        <v>32</v>
      </c>
      <c r="J469" t="s">
        <v>625</v>
      </c>
      <c r="K469">
        <v>13031.08</v>
      </c>
      <c r="L469">
        <v>0.15270001164783101</v>
      </c>
      <c r="M469">
        <v>2020</v>
      </c>
      <c r="N469" t="s">
        <v>1172</v>
      </c>
      <c r="O469">
        <v>4</v>
      </c>
      <c r="P469" t="s">
        <v>1215</v>
      </c>
    </row>
    <row r="470" spans="1:16" x14ac:dyDescent="0.3">
      <c r="A470" t="s">
        <v>34</v>
      </c>
      <c r="B470">
        <v>100094.97</v>
      </c>
      <c r="C470">
        <v>84690.35</v>
      </c>
      <c r="D470" s="1">
        <v>44054</v>
      </c>
      <c r="E470" t="s">
        <v>11</v>
      </c>
      <c r="F470" t="s">
        <v>135</v>
      </c>
      <c r="G470" t="s">
        <v>36</v>
      </c>
      <c r="H470" t="s">
        <v>37</v>
      </c>
      <c r="I470" t="s">
        <v>27</v>
      </c>
      <c r="J470" t="s">
        <v>626</v>
      </c>
      <c r="K470">
        <v>15404.62</v>
      </c>
      <c r="L470">
        <v>0.153900041130938</v>
      </c>
      <c r="M470">
        <v>2020</v>
      </c>
      <c r="N470" t="s">
        <v>1171</v>
      </c>
      <c r="O470">
        <v>8</v>
      </c>
      <c r="P470" t="s">
        <v>1214</v>
      </c>
    </row>
    <row r="471" spans="1:16" x14ac:dyDescent="0.3">
      <c r="A471" t="s">
        <v>129</v>
      </c>
      <c r="B471">
        <v>293767.28000000003</v>
      </c>
      <c r="C471">
        <v>254079.32</v>
      </c>
      <c r="D471" s="1">
        <v>43957</v>
      </c>
      <c r="E471" t="s">
        <v>11</v>
      </c>
      <c r="F471" t="s">
        <v>236</v>
      </c>
      <c r="G471" t="s">
        <v>130</v>
      </c>
      <c r="H471" t="s">
        <v>159</v>
      </c>
      <c r="I471" t="s">
        <v>27</v>
      </c>
      <c r="J471" t="s">
        <v>627</v>
      </c>
      <c r="K471">
        <v>39687.96</v>
      </c>
      <c r="L471">
        <v>0.13510000160671401</v>
      </c>
      <c r="M471">
        <v>2020</v>
      </c>
      <c r="N471" t="s">
        <v>1173</v>
      </c>
      <c r="O471">
        <v>5</v>
      </c>
      <c r="P471" t="s">
        <v>1215</v>
      </c>
    </row>
    <row r="472" spans="1:16" x14ac:dyDescent="0.3">
      <c r="A472" t="s">
        <v>10</v>
      </c>
      <c r="B472">
        <v>207379.28</v>
      </c>
      <c r="C472">
        <v>166442.60999999999</v>
      </c>
      <c r="D472" s="1">
        <v>43817</v>
      </c>
      <c r="E472" t="s">
        <v>55</v>
      </c>
      <c r="F472" t="s">
        <v>95</v>
      </c>
      <c r="G472" t="s">
        <v>13</v>
      </c>
      <c r="H472" t="s">
        <v>81</v>
      </c>
      <c r="I472" t="s">
        <v>27</v>
      </c>
      <c r="J472" t="s">
        <v>628</v>
      </c>
      <c r="K472">
        <v>40936.67</v>
      </c>
      <c r="L472">
        <v>0.19740000061722701</v>
      </c>
      <c r="M472">
        <v>2019</v>
      </c>
      <c r="N472" t="s">
        <v>1182</v>
      </c>
      <c r="O472">
        <v>12</v>
      </c>
      <c r="P472" t="s">
        <v>1217</v>
      </c>
    </row>
    <row r="473" spans="1:16" x14ac:dyDescent="0.3">
      <c r="A473" t="s">
        <v>10</v>
      </c>
      <c r="B473">
        <v>56717.53</v>
      </c>
      <c r="C473">
        <v>45101.78</v>
      </c>
      <c r="D473" s="1">
        <v>43741</v>
      </c>
      <c r="E473" t="s">
        <v>40</v>
      </c>
      <c r="F473" t="s">
        <v>56</v>
      </c>
      <c r="G473" t="s">
        <v>13</v>
      </c>
      <c r="H473" t="s">
        <v>46</v>
      </c>
      <c r="I473" t="s">
        <v>1183</v>
      </c>
      <c r="J473" t="s">
        <v>629</v>
      </c>
      <c r="K473">
        <v>11615.75</v>
      </c>
      <c r="L473">
        <v>0.204799997461102</v>
      </c>
      <c r="M473">
        <v>2019</v>
      </c>
      <c r="N473" t="s">
        <v>1178</v>
      </c>
      <c r="O473">
        <v>10</v>
      </c>
      <c r="P473" t="s">
        <v>1216</v>
      </c>
    </row>
    <row r="474" spans="1:16" x14ac:dyDescent="0.3">
      <c r="A474" t="s">
        <v>17</v>
      </c>
      <c r="B474">
        <v>195214.72</v>
      </c>
      <c r="C474">
        <v>154649.1</v>
      </c>
      <c r="D474" s="1">
        <v>43642</v>
      </c>
      <c r="E474" t="s">
        <v>91</v>
      </c>
      <c r="F474" t="s">
        <v>214</v>
      </c>
      <c r="G474" t="s">
        <v>19</v>
      </c>
      <c r="H474" t="s">
        <v>78</v>
      </c>
      <c r="I474" t="s">
        <v>27</v>
      </c>
      <c r="J474" t="s">
        <v>630</v>
      </c>
      <c r="K474">
        <v>40565.620000000003</v>
      </c>
      <c r="L474">
        <v>0.20780000606511601</v>
      </c>
      <c r="M474">
        <v>2019</v>
      </c>
      <c r="N474" t="s">
        <v>1179</v>
      </c>
      <c r="O474">
        <v>6</v>
      </c>
      <c r="P474" t="s">
        <v>1214</v>
      </c>
    </row>
    <row r="475" spans="1:16" x14ac:dyDescent="0.3">
      <c r="A475" t="s">
        <v>22</v>
      </c>
      <c r="B475">
        <v>110441.89</v>
      </c>
      <c r="C475">
        <v>90970.98</v>
      </c>
      <c r="D475" s="1">
        <v>43922</v>
      </c>
      <c r="E475" t="s">
        <v>76</v>
      </c>
      <c r="F475" t="s">
        <v>471</v>
      </c>
      <c r="G475" t="s">
        <v>25</v>
      </c>
      <c r="H475" t="s">
        <v>63</v>
      </c>
      <c r="I475" t="s">
        <v>15</v>
      </c>
      <c r="J475" t="s">
        <v>631</v>
      </c>
      <c r="K475">
        <v>19470.91</v>
      </c>
      <c r="L475">
        <v>0.17630004339838801</v>
      </c>
      <c r="M475">
        <v>2020</v>
      </c>
      <c r="N475" t="s">
        <v>1172</v>
      </c>
      <c r="O475">
        <v>4</v>
      </c>
      <c r="P475" t="s">
        <v>1215</v>
      </c>
    </row>
    <row r="476" spans="1:16" x14ac:dyDescent="0.3">
      <c r="A476" t="s">
        <v>10</v>
      </c>
      <c r="B476">
        <v>112909.4</v>
      </c>
      <c r="C476">
        <v>93940.62</v>
      </c>
      <c r="D476" s="1">
        <v>43580</v>
      </c>
      <c r="E476" t="s">
        <v>40</v>
      </c>
      <c r="F476" t="s">
        <v>56</v>
      </c>
      <c r="G476" t="s">
        <v>13</v>
      </c>
      <c r="H476" t="s">
        <v>72</v>
      </c>
      <c r="I476" t="s">
        <v>27</v>
      </c>
      <c r="J476" t="s">
        <v>632</v>
      </c>
      <c r="K476">
        <v>18968.78</v>
      </c>
      <c r="L476">
        <v>0.168000007085327</v>
      </c>
      <c r="M476">
        <v>2019</v>
      </c>
      <c r="N476" t="s">
        <v>1172</v>
      </c>
      <c r="O476">
        <v>4</v>
      </c>
      <c r="P476" t="s">
        <v>1215</v>
      </c>
    </row>
    <row r="477" spans="1:16" x14ac:dyDescent="0.3">
      <c r="A477" t="s">
        <v>34</v>
      </c>
      <c r="B477">
        <v>290010.78999999998</v>
      </c>
      <c r="C477">
        <v>234444.72</v>
      </c>
      <c r="D477" s="1">
        <v>43824</v>
      </c>
      <c r="E477" t="s">
        <v>51</v>
      </c>
      <c r="F477" t="s">
        <v>195</v>
      </c>
      <c r="G477" t="s">
        <v>36</v>
      </c>
      <c r="H477" t="s">
        <v>37</v>
      </c>
      <c r="I477" t="s">
        <v>27</v>
      </c>
      <c r="J477" t="s">
        <v>633</v>
      </c>
      <c r="K477">
        <v>55566.07</v>
      </c>
      <c r="L477">
        <v>0.19160000908931701</v>
      </c>
      <c r="M477">
        <v>2019</v>
      </c>
      <c r="N477" t="s">
        <v>1182</v>
      </c>
      <c r="O477">
        <v>12</v>
      </c>
      <c r="P477" t="s">
        <v>1217</v>
      </c>
    </row>
    <row r="478" spans="1:16" x14ac:dyDescent="0.3">
      <c r="A478" t="s">
        <v>17</v>
      </c>
      <c r="B478">
        <v>108713.83</v>
      </c>
      <c r="C478">
        <v>90341.19</v>
      </c>
      <c r="D478" s="1">
        <v>44077</v>
      </c>
      <c r="E478" t="s">
        <v>40</v>
      </c>
      <c r="F478" t="s">
        <v>106</v>
      </c>
      <c r="G478" t="s">
        <v>19</v>
      </c>
      <c r="H478" t="s">
        <v>20</v>
      </c>
      <c r="I478" t="s">
        <v>27</v>
      </c>
      <c r="J478" t="s">
        <v>634</v>
      </c>
      <c r="K478">
        <v>18372.64</v>
      </c>
      <c r="L478">
        <v>0.16900002511180001</v>
      </c>
      <c r="M478">
        <v>2020</v>
      </c>
      <c r="N478" t="s">
        <v>1175</v>
      </c>
      <c r="O478">
        <v>9</v>
      </c>
      <c r="P478" t="s">
        <v>1216</v>
      </c>
    </row>
    <row r="479" spans="1:16" x14ac:dyDescent="0.3">
      <c r="A479" t="s">
        <v>10</v>
      </c>
      <c r="B479">
        <v>110837.96</v>
      </c>
      <c r="C479">
        <v>92106.34</v>
      </c>
      <c r="D479" s="1">
        <v>43521</v>
      </c>
      <c r="E479" t="s">
        <v>29</v>
      </c>
      <c r="F479" t="s">
        <v>92</v>
      </c>
      <c r="G479" t="s">
        <v>13</v>
      </c>
      <c r="H479" t="s">
        <v>46</v>
      </c>
      <c r="I479" t="s">
        <v>27</v>
      </c>
      <c r="J479" t="s">
        <v>635</v>
      </c>
      <c r="K479">
        <v>18731.62</v>
      </c>
      <c r="L479">
        <v>0.169000042945576</v>
      </c>
      <c r="M479">
        <v>2019</v>
      </c>
      <c r="N479" t="s">
        <v>1181</v>
      </c>
      <c r="O479">
        <v>2</v>
      </c>
      <c r="P479" t="s">
        <v>1217</v>
      </c>
    </row>
    <row r="480" spans="1:16" x14ac:dyDescent="0.3">
      <c r="A480" t="s">
        <v>22</v>
      </c>
      <c r="B480">
        <v>178027.46</v>
      </c>
      <c r="C480">
        <v>144985.56</v>
      </c>
      <c r="D480" s="1">
        <v>43922</v>
      </c>
      <c r="E480" t="s">
        <v>23</v>
      </c>
      <c r="F480" t="s">
        <v>18</v>
      </c>
      <c r="G480" t="s">
        <v>25</v>
      </c>
      <c r="H480" t="s">
        <v>26</v>
      </c>
      <c r="I480" t="s">
        <v>27</v>
      </c>
      <c r="J480" t="s">
        <v>636</v>
      </c>
      <c r="K480">
        <v>33041.9</v>
      </c>
      <c r="L480">
        <v>0.18560001923298799</v>
      </c>
      <c r="M480">
        <v>2020</v>
      </c>
      <c r="N480" t="s">
        <v>1172</v>
      </c>
      <c r="O480">
        <v>4</v>
      </c>
      <c r="P480" t="s">
        <v>1215</v>
      </c>
    </row>
    <row r="481" spans="1:16" x14ac:dyDescent="0.3">
      <c r="A481" t="s">
        <v>22</v>
      </c>
      <c r="B481">
        <v>57345.79</v>
      </c>
      <c r="C481">
        <v>45716.06</v>
      </c>
      <c r="D481" s="1">
        <v>44085</v>
      </c>
      <c r="E481" t="s">
        <v>40</v>
      </c>
      <c r="F481" t="s">
        <v>373</v>
      </c>
      <c r="G481" t="s">
        <v>25</v>
      </c>
      <c r="H481" t="s">
        <v>63</v>
      </c>
      <c r="I481" t="s">
        <v>27</v>
      </c>
      <c r="J481" t="s">
        <v>637</v>
      </c>
      <c r="K481">
        <v>11629.73</v>
      </c>
      <c r="L481">
        <v>0.20280006605541601</v>
      </c>
      <c r="M481">
        <v>2020</v>
      </c>
      <c r="N481" t="s">
        <v>1175</v>
      </c>
      <c r="O481">
        <v>9</v>
      </c>
      <c r="P481" t="s">
        <v>1216</v>
      </c>
    </row>
    <row r="482" spans="1:16" x14ac:dyDescent="0.3">
      <c r="A482" t="s">
        <v>17</v>
      </c>
      <c r="B482">
        <v>63298.61</v>
      </c>
      <c r="C482">
        <v>53645.57</v>
      </c>
      <c r="D482" s="1">
        <v>44108</v>
      </c>
      <c r="E482" t="s">
        <v>23</v>
      </c>
      <c r="F482" t="s">
        <v>156</v>
      </c>
      <c r="G482" t="s">
        <v>19</v>
      </c>
      <c r="H482" t="s">
        <v>49</v>
      </c>
      <c r="I482" t="s">
        <v>32</v>
      </c>
      <c r="J482" t="s">
        <v>638</v>
      </c>
      <c r="K482">
        <v>9653.0400000000009</v>
      </c>
      <c r="L482">
        <v>0.152500031201317</v>
      </c>
      <c r="M482">
        <v>2020</v>
      </c>
      <c r="N482" t="s">
        <v>1178</v>
      </c>
      <c r="O482">
        <v>10</v>
      </c>
      <c r="P482" t="s">
        <v>1216</v>
      </c>
    </row>
    <row r="483" spans="1:16" x14ac:dyDescent="0.3">
      <c r="A483" t="s">
        <v>34</v>
      </c>
      <c r="B483">
        <v>28328.78</v>
      </c>
      <c r="C483">
        <v>24408.080000000002</v>
      </c>
      <c r="D483" s="1">
        <v>43515</v>
      </c>
      <c r="E483" t="s">
        <v>40</v>
      </c>
      <c r="F483" t="s">
        <v>92</v>
      </c>
      <c r="G483" t="s">
        <v>36</v>
      </c>
      <c r="H483" t="s">
        <v>93</v>
      </c>
      <c r="I483" t="s">
        <v>27</v>
      </c>
      <c r="J483" t="s">
        <v>639</v>
      </c>
      <c r="K483">
        <v>3920.7</v>
      </c>
      <c r="L483">
        <v>0.13839988873506001</v>
      </c>
      <c r="M483">
        <v>2019</v>
      </c>
      <c r="N483" t="s">
        <v>1181</v>
      </c>
      <c r="O483">
        <v>2</v>
      </c>
      <c r="P483" t="s">
        <v>1217</v>
      </c>
    </row>
    <row r="484" spans="1:16" x14ac:dyDescent="0.3">
      <c r="A484" t="s">
        <v>34</v>
      </c>
      <c r="B484">
        <v>169262.2</v>
      </c>
      <c r="C484">
        <v>141080.04</v>
      </c>
      <c r="D484" s="1">
        <v>43947</v>
      </c>
      <c r="E484" t="s">
        <v>76</v>
      </c>
      <c r="F484" t="s">
        <v>314</v>
      </c>
      <c r="G484" t="s">
        <v>36</v>
      </c>
      <c r="H484" t="s">
        <v>104</v>
      </c>
      <c r="I484" t="s">
        <v>27</v>
      </c>
      <c r="J484" t="s">
        <v>640</v>
      </c>
      <c r="K484">
        <v>28182.16</v>
      </c>
      <c r="L484">
        <v>0.16650002185957599</v>
      </c>
      <c r="M484">
        <v>2020</v>
      </c>
      <c r="N484" t="s">
        <v>1172</v>
      </c>
      <c r="O484">
        <v>4</v>
      </c>
      <c r="P484" t="s">
        <v>1215</v>
      </c>
    </row>
    <row r="485" spans="1:16" x14ac:dyDescent="0.3">
      <c r="A485" t="s">
        <v>17</v>
      </c>
      <c r="B485">
        <v>67594.100000000006</v>
      </c>
      <c r="C485">
        <v>54920.21</v>
      </c>
      <c r="D485" s="1">
        <v>43734</v>
      </c>
      <c r="E485" t="s">
        <v>99</v>
      </c>
      <c r="F485" t="s">
        <v>149</v>
      </c>
      <c r="G485" t="s">
        <v>19</v>
      </c>
      <c r="H485" t="s">
        <v>20</v>
      </c>
      <c r="I485" t="s">
        <v>27</v>
      </c>
      <c r="J485" t="s">
        <v>641</v>
      </c>
      <c r="K485">
        <v>12673.89</v>
      </c>
      <c r="L485">
        <v>0.18749994452178501</v>
      </c>
      <c r="M485">
        <v>2019</v>
      </c>
      <c r="N485" t="s">
        <v>1175</v>
      </c>
      <c r="O485">
        <v>9</v>
      </c>
      <c r="P485" t="s">
        <v>1216</v>
      </c>
    </row>
    <row r="486" spans="1:16" x14ac:dyDescent="0.3">
      <c r="A486" t="s">
        <v>17</v>
      </c>
      <c r="B486">
        <v>143658.22</v>
      </c>
      <c r="C486">
        <v>123158.19</v>
      </c>
      <c r="D486" s="1">
        <v>44134</v>
      </c>
      <c r="E486" t="s">
        <v>23</v>
      </c>
      <c r="F486" t="s">
        <v>18</v>
      </c>
      <c r="G486" t="s">
        <v>19</v>
      </c>
      <c r="H486" t="s">
        <v>20</v>
      </c>
      <c r="I486" t="s">
        <v>27</v>
      </c>
      <c r="J486" t="s">
        <v>642</v>
      </c>
      <c r="K486">
        <v>20500.03</v>
      </c>
      <c r="L486">
        <v>0.142700013963698</v>
      </c>
      <c r="M486">
        <v>2020</v>
      </c>
      <c r="N486" t="s">
        <v>1178</v>
      </c>
      <c r="O486">
        <v>10</v>
      </c>
      <c r="P486" t="s">
        <v>1216</v>
      </c>
    </row>
    <row r="487" spans="1:16" x14ac:dyDescent="0.3">
      <c r="A487" t="s">
        <v>122</v>
      </c>
      <c r="B487">
        <v>33210.559999999998</v>
      </c>
      <c r="C487">
        <v>29109.06</v>
      </c>
      <c r="D487" s="1">
        <v>44155</v>
      </c>
      <c r="E487" t="s">
        <v>91</v>
      </c>
      <c r="F487" t="s">
        <v>106</v>
      </c>
      <c r="G487" t="s">
        <v>123</v>
      </c>
      <c r="H487" t="s">
        <v>124</v>
      </c>
      <c r="I487" t="s">
        <v>27</v>
      </c>
      <c r="J487" t="s">
        <v>643</v>
      </c>
      <c r="K487">
        <v>4101.5</v>
      </c>
      <c r="L487">
        <v>0.12349987473863699</v>
      </c>
      <c r="M487">
        <v>2020</v>
      </c>
      <c r="N487" t="s">
        <v>1180</v>
      </c>
      <c r="O487">
        <v>11</v>
      </c>
      <c r="P487" t="s">
        <v>1216</v>
      </c>
    </row>
    <row r="488" spans="1:16" x14ac:dyDescent="0.3">
      <c r="A488" t="s">
        <v>22</v>
      </c>
      <c r="B488">
        <v>21341.66</v>
      </c>
      <c r="C488">
        <v>16930.34</v>
      </c>
      <c r="D488" s="1">
        <v>43552</v>
      </c>
      <c r="E488" t="s">
        <v>11</v>
      </c>
      <c r="F488" t="s">
        <v>164</v>
      </c>
      <c r="G488" t="s">
        <v>25</v>
      </c>
      <c r="H488" t="s">
        <v>167</v>
      </c>
      <c r="I488" t="s">
        <v>27</v>
      </c>
      <c r="J488" t="s">
        <v>644</v>
      </c>
      <c r="K488">
        <v>4411.32</v>
      </c>
      <c r="L488">
        <v>0.20669994742677</v>
      </c>
      <c r="M488">
        <v>2019</v>
      </c>
      <c r="N488" t="s">
        <v>1176</v>
      </c>
      <c r="O488">
        <v>3</v>
      </c>
      <c r="P488" t="s">
        <v>1215</v>
      </c>
    </row>
    <row r="489" spans="1:16" x14ac:dyDescent="0.3">
      <c r="A489" t="s">
        <v>22</v>
      </c>
      <c r="B489">
        <v>129353.22</v>
      </c>
      <c r="C489">
        <v>111593.02</v>
      </c>
      <c r="D489" s="1">
        <v>43483</v>
      </c>
      <c r="E489" t="s">
        <v>11</v>
      </c>
      <c r="F489" t="s">
        <v>80</v>
      </c>
      <c r="G489" t="s">
        <v>25</v>
      </c>
      <c r="H489" t="s">
        <v>26</v>
      </c>
      <c r="I489" t="s">
        <v>32</v>
      </c>
      <c r="J489" t="s">
        <v>645</v>
      </c>
      <c r="K489">
        <v>17760.2</v>
      </c>
      <c r="L489">
        <v>0.137300022372849</v>
      </c>
      <c r="M489">
        <v>2019</v>
      </c>
      <c r="N489" t="s">
        <v>1177</v>
      </c>
      <c r="O489">
        <v>1</v>
      </c>
      <c r="P489" t="s">
        <v>1217</v>
      </c>
    </row>
    <row r="490" spans="1:16" x14ac:dyDescent="0.3">
      <c r="A490" t="s">
        <v>17</v>
      </c>
      <c r="B490">
        <v>28783.05</v>
      </c>
      <c r="C490">
        <v>24776.45</v>
      </c>
      <c r="D490" s="1">
        <v>43553</v>
      </c>
      <c r="E490" t="s">
        <v>40</v>
      </c>
      <c r="F490" t="s">
        <v>174</v>
      </c>
      <c r="G490" t="s">
        <v>19</v>
      </c>
      <c r="H490" t="s">
        <v>78</v>
      </c>
      <c r="I490" t="s">
        <v>27</v>
      </c>
      <c r="J490" t="s">
        <v>646</v>
      </c>
      <c r="K490">
        <v>4006.6</v>
      </c>
      <c r="L490">
        <v>0.13919998054410501</v>
      </c>
      <c r="M490">
        <v>2019</v>
      </c>
      <c r="N490" t="s">
        <v>1176</v>
      </c>
      <c r="O490">
        <v>3</v>
      </c>
      <c r="P490" t="s">
        <v>1215</v>
      </c>
    </row>
    <row r="491" spans="1:16" x14ac:dyDescent="0.3">
      <c r="A491" t="s">
        <v>151</v>
      </c>
      <c r="B491">
        <v>165747.20000000001</v>
      </c>
      <c r="C491">
        <v>132912.68</v>
      </c>
      <c r="D491" s="1">
        <v>43851</v>
      </c>
      <c r="E491" t="s">
        <v>91</v>
      </c>
      <c r="F491" t="s">
        <v>400</v>
      </c>
      <c r="G491" t="s">
        <v>152</v>
      </c>
      <c r="H491" t="s">
        <v>197</v>
      </c>
      <c r="I491" t="s">
        <v>27</v>
      </c>
      <c r="J491" t="s">
        <v>647</v>
      </c>
      <c r="K491">
        <v>32834.519999999997</v>
      </c>
      <c r="L491">
        <v>0.198099998069349</v>
      </c>
      <c r="M491">
        <v>2020</v>
      </c>
      <c r="N491" t="s">
        <v>1177</v>
      </c>
      <c r="O491">
        <v>1</v>
      </c>
      <c r="P491" t="s">
        <v>1217</v>
      </c>
    </row>
    <row r="492" spans="1:16" x14ac:dyDescent="0.3">
      <c r="A492" t="s">
        <v>17</v>
      </c>
      <c r="B492">
        <v>87355.7</v>
      </c>
      <c r="C492">
        <v>74584.3</v>
      </c>
      <c r="D492" s="1">
        <v>43526</v>
      </c>
      <c r="E492" t="s">
        <v>51</v>
      </c>
      <c r="F492" t="s">
        <v>195</v>
      </c>
      <c r="G492" t="s">
        <v>19</v>
      </c>
      <c r="H492" t="s">
        <v>31</v>
      </c>
      <c r="I492" t="s">
        <v>27</v>
      </c>
      <c r="J492" t="s">
        <v>648</v>
      </c>
      <c r="K492">
        <v>12771.4</v>
      </c>
      <c r="L492">
        <v>0.146199961765517</v>
      </c>
      <c r="M492">
        <v>2019</v>
      </c>
      <c r="N492" t="s">
        <v>1176</v>
      </c>
      <c r="O492">
        <v>3</v>
      </c>
      <c r="P492" t="s">
        <v>1215</v>
      </c>
    </row>
    <row r="493" spans="1:16" x14ac:dyDescent="0.3">
      <c r="A493" t="s">
        <v>34</v>
      </c>
      <c r="B493">
        <v>66391.58</v>
      </c>
      <c r="C493">
        <v>52635.24</v>
      </c>
      <c r="D493" s="1">
        <v>43567</v>
      </c>
      <c r="E493" t="s">
        <v>40</v>
      </c>
      <c r="F493" t="s">
        <v>77</v>
      </c>
      <c r="G493" t="s">
        <v>36</v>
      </c>
      <c r="H493" t="s">
        <v>104</v>
      </c>
      <c r="I493" t="s">
        <v>32</v>
      </c>
      <c r="J493" t="s">
        <v>649</v>
      </c>
      <c r="K493">
        <v>13756.34</v>
      </c>
      <c r="L493">
        <v>0.20720006964738599</v>
      </c>
      <c r="M493">
        <v>2019</v>
      </c>
      <c r="N493" t="s">
        <v>1172</v>
      </c>
      <c r="O493">
        <v>4</v>
      </c>
      <c r="P493" t="s">
        <v>1215</v>
      </c>
    </row>
    <row r="494" spans="1:16" x14ac:dyDescent="0.3">
      <c r="A494" t="s">
        <v>22</v>
      </c>
      <c r="B494">
        <v>43066.58</v>
      </c>
      <c r="C494">
        <v>36154.39</v>
      </c>
      <c r="D494" s="1">
        <v>43679</v>
      </c>
      <c r="E494" t="s">
        <v>11</v>
      </c>
      <c r="F494" t="s">
        <v>71</v>
      </c>
      <c r="G494" t="s">
        <v>25</v>
      </c>
      <c r="H494" t="s">
        <v>63</v>
      </c>
      <c r="I494" t="s">
        <v>32</v>
      </c>
      <c r="J494" t="s">
        <v>650</v>
      </c>
      <c r="K494">
        <v>6912.19</v>
      </c>
      <c r="L494">
        <v>0.16050009078965599</v>
      </c>
      <c r="M494">
        <v>2019</v>
      </c>
      <c r="N494" t="s">
        <v>1171</v>
      </c>
      <c r="O494">
        <v>8</v>
      </c>
      <c r="P494" t="s">
        <v>1214</v>
      </c>
    </row>
    <row r="495" spans="1:16" x14ac:dyDescent="0.3">
      <c r="A495" t="s">
        <v>22</v>
      </c>
      <c r="B495">
        <v>109713.84</v>
      </c>
      <c r="C495">
        <v>95769.21</v>
      </c>
      <c r="D495" s="1">
        <v>44017</v>
      </c>
      <c r="E495" t="s">
        <v>51</v>
      </c>
      <c r="F495" t="s">
        <v>144</v>
      </c>
      <c r="G495" t="s">
        <v>25</v>
      </c>
      <c r="H495" t="s">
        <v>52</v>
      </c>
      <c r="I495" t="s">
        <v>27</v>
      </c>
      <c r="J495" t="s">
        <v>651</v>
      </c>
      <c r="K495">
        <v>13944.63</v>
      </c>
      <c r="L495">
        <v>0.127100008531285</v>
      </c>
      <c r="M495">
        <v>2020</v>
      </c>
      <c r="N495" t="s">
        <v>1174</v>
      </c>
      <c r="O495">
        <v>7</v>
      </c>
      <c r="P495" t="s">
        <v>1214</v>
      </c>
    </row>
    <row r="496" spans="1:16" x14ac:dyDescent="0.3">
      <c r="A496" t="s">
        <v>216</v>
      </c>
      <c r="B496">
        <v>43008.69</v>
      </c>
      <c r="C496">
        <v>34458.559999999998</v>
      </c>
      <c r="D496" s="1">
        <v>43665</v>
      </c>
      <c r="E496" t="s">
        <v>23</v>
      </c>
      <c r="F496" t="s">
        <v>415</v>
      </c>
      <c r="G496" t="s">
        <v>217</v>
      </c>
      <c r="H496" t="s">
        <v>218</v>
      </c>
      <c r="I496" t="s">
        <v>27</v>
      </c>
      <c r="J496" t="s">
        <v>652</v>
      </c>
      <c r="K496">
        <v>8550.1299999999992</v>
      </c>
      <c r="L496">
        <v>0.19880005645370699</v>
      </c>
      <c r="M496">
        <v>2019</v>
      </c>
      <c r="N496" t="s">
        <v>1174</v>
      </c>
      <c r="O496">
        <v>7</v>
      </c>
      <c r="P496" t="s">
        <v>1214</v>
      </c>
    </row>
    <row r="497" spans="1:16" x14ac:dyDescent="0.3">
      <c r="A497" t="s">
        <v>122</v>
      </c>
      <c r="B497">
        <v>40187.99</v>
      </c>
      <c r="C497">
        <v>32508.07</v>
      </c>
      <c r="D497" s="1">
        <v>43973</v>
      </c>
      <c r="E497" t="s">
        <v>11</v>
      </c>
      <c r="F497" t="s">
        <v>74</v>
      </c>
      <c r="G497" t="s">
        <v>123</v>
      </c>
      <c r="H497" t="s">
        <v>254</v>
      </c>
      <c r="I497" t="s">
        <v>27</v>
      </c>
      <c r="J497" t="s">
        <v>653</v>
      </c>
      <c r="K497">
        <v>7679.92</v>
      </c>
      <c r="L497">
        <v>0.19109987834674</v>
      </c>
      <c r="M497">
        <v>2020</v>
      </c>
      <c r="N497" t="s">
        <v>1173</v>
      </c>
      <c r="O497">
        <v>5</v>
      </c>
      <c r="P497" t="s">
        <v>1215</v>
      </c>
    </row>
    <row r="498" spans="1:16" x14ac:dyDescent="0.3">
      <c r="A498" t="s">
        <v>22</v>
      </c>
      <c r="B498">
        <v>84224.98</v>
      </c>
      <c r="C498">
        <v>68239.08</v>
      </c>
      <c r="D498" s="1">
        <v>43486</v>
      </c>
      <c r="E498" t="s">
        <v>23</v>
      </c>
      <c r="F498" t="s">
        <v>106</v>
      </c>
      <c r="G498" t="s">
        <v>25</v>
      </c>
      <c r="H498" t="s">
        <v>52</v>
      </c>
      <c r="I498" t="s">
        <v>32</v>
      </c>
      <c r="J498" t="s">
        <v>654</v>
      </c>
      <c r="K498">
        <v>15985.9</v>
      </c>
      <c r="L498">
        <v>0.18979998570495399</v>
      </c>
      <c r="M498">
        <v>2019</v>
      </c>
      <c r="N498" t="s">
        <v>1177</v>
      </c>
      <c r="O498">
        <v>1</v>
      </c>
      <c r="P498" t="s">
        <v>1217</v>
      </c>
    </row>
    <row r="499" spans="1:16" x14ac:dyDescent="0.3">
      <c r="A499" t="s">
        <v>17</v>
      </c>
      <c r="B499">
        <v>57276.26</v>
      </c>
      <c r="C499">
        <v>49223.22</v>
      </c>
      <c r="D499" s="1">
        <v>43925</v>
      </c>
      <c r="E499" t="s">
        <v>23</v>
      </c>
      <c r="F499" t="s">
        <v>56</v>
      </c>
      <c r="G499" t="s">
        <v>19</v>
      </c>
      <c r="H499" t="s">
        <v>20</v>
      </c>
      <c r="I499" t="s">
        <v>27</v>
      </c>
      <c r="J499" t="s">
        <v>655</v>
      </c>
      <c r="K499">
        <v>8053.04</v>
      </c>
      <c r="L499">
        <v>0.140599962357877</v>
      </c>
      <c r="M499">
        <v>2020</v>
      </c>
      <c r="N499" t="s">
        <v>1172</v>
      </c>
      <c r="O499">
        <v>4</v>
      </c>
      <c r="P499" t="s">
        <v>1215</v>
      </c>
    </row>
    <row r="500" spans="1:16" x14ac:dyDescent="0.3">
      <c r="A500" t="s">
        <v>22</v>
      </c>
      <c r="B500">
        <v>172340.86</v>
      </c>
      <c r="C500">
        <v>136562.9</v>
      </c>
      <c r="D500" s="1">
        <v>44078</v>
      </c>
      <c r="E500" t="s">
        <v>76</v>
      </c>
      <c r="F500" t="s">
        <v>656</v>
      </c>
      <c r="G500" t="s">
        <v>25</v>
      </c>
      <c r="H500" t="s">
        <v>63</v>
      </c>
      <c r="I500" t="s">
        <v>27</v>
      </c>
      <c r="J500" t="s">
        <v>657</v>
      </c>
      <c r="K500">
        <v>35777.96</v>
      </c>
      <c r="L500">
        <v>0.207599985284975</v>
      </c>
      <c r="M500">
        <v>2020</v>
      </c>
      <c r="N500" t="s">
        <v>1175</v>
      </c>
      <c r="O500">
        <v>9</v>
      </c>
      <c r="P500" t="s">
        <v>1216</v>
      </c>
    </row>
    <row r="501" spans="1:16" x14ac:dyDescent="0.3">
      <c r="A501" t="s">
        <v>129</v>
      </c>
      <c r="B501">
        <v>25816.05</v>
      </c>
      <c r="C501">
        <v>21447.97</v>
      </c>
      <c r="D501" s="1">
        <v>43686</v>
      </c>
      <c r="E501" t="s">
        <v>40</v>
      </c>
      <c r="F501" t="s">
        <v>195</v>
      </c>
      <c r="G501" t="s">
        <v>130</v>
      </c>
      <c r="H501" t="s">
        <v>131</v>
      </c>
      <c r="I501" t="s">
        <v>32</v>
      </c>
      <c r="J501" t="s">
        <v>658</v>
      </c>
      <c r="K501">
        <v>4368.08</v>
      </c>
      <c r="L501">
        <v>0.16920016811247299</v>
      </c>
      <c r="M501">
        <v>2019</v>
      </c>
      <c r="N501" t="s">
        <v>1171</v>
      </c>
      <c r="O501">
        <v>8</v>
      </c>
      <c r="P501" t="s">
        <v>1214</v>
      </c>
    </row>
    <row r="502" spans="1:16" x14ac:dyDescent="0.3">
      <c r="A502" t="s">
        <v>17</v>
      </c>
      <c r="B502">
        <v>238850.25</v>
      </c>
      <c r="C502">
        <v>199607.15</v>
      </c>
      <c r="D502" s="1">
        <v>43646</v>
      </c>
      <c r="E502" t="s">
        <v>23</v>
      </c>
      <c r="F502" t="s">
        <v>149</v>
      </c>
      <c r="G502" t="s">
        <v>19</v>
      </c>
      <c r="H502" t="s">
        <v>157</v>
      </c>
      <c r="I502" t="s">
        <v>27</v>
      </c>
      <c r="J502" t="s">
        <v>659</v>
      </c>
      <c r="K502">
        <v>39243.1</v>
      </c>
      <c r="L502">
        <v>0.16430001643288999</v>
      </c>
      <c r="M502">
        <v>2019</v>
      </c>
      <c r="N502" t="s">
        <v>1179</v>
      </c>
      <c r="O502">
        <v>6</v>
      </c>
      <c r="P502" t="s">
        <v>1214</v>
      </c>
    </row>
    <row r="503" spans="1:16" x14ac:dyDescent="0.3">
      <c r="A503" t="s">
        <v>247</v>
      </c>
      <c r="B503">
        <v>118061.05</v>
      </c>
      <c r="C503">
        <v>101131.1</v>
      </c>
      <c r="D503" s="1">
        <v>43868</v>
      </c>
      <c r="E503" t="s">
        <v>23</v>
      </c>
      <c r="F503" t="s">
        <v>56</v>
      </c>
      <c r="G503" t="s">
        <v>248</v>
      </c>
      <c r="H503" t="s">
        <v>249</v>
      </c>
      <c r="I503" t="s">
        <v>32</v>
      </c>
      <c r="J503" t="s">
        <v>660</v>
      </c>
      <c r="K503">
        <v>16929.95</v>
      </c>
      <c r="L503">
        <v>0.14339996129121299</v>
      </c>
      <c r="M503">
        <v>2020</v>
      </c>
      <c r="N503" t="s">
        <v>1181</v>
      </c>
      <c r="O503">
        <v>2</v>
      </c>
      <c r="P503" t="s">
        <v>1217</v>
      </c>
    </row>
    <row r="504" spans="1:16" x14ac:dyDescent="0.3">
      <c r="A504" t="s">
        <v>17</v>
      </c>
      <c r="B504">
        <v>121043.69</v>
      </c>
      <c r="C504">
        <v>96750.22</v>
      </c>
      <c r="D504" s="1">
        <v>44102</v>
      </c>
      <c r="E504" t="s">
        <v>91</v>
      </c>
      <c r="F504" t="s">
        <v>106</v>
      </c>
      <c r="G504" t="s">
        <v>19</v>
      </c>
      <c r="H504" t="s">
        <v>31</v>
      </c>
      <c r="I504" t="s">
        <v>27</v>
      </c>
      <c r="J504" t="s">
        <v>661</v>
      </c>
      <c r="K504">
        <v>24293.47</v>
      </c>
      <c r="L504">
        <v>0.200700011706517</v>
      </c>
      <c r="M504">
        <v>2020</v>
      </c>
      <c r="N504" t="s">
        <v>1175</v>
      </c>
      <c r="O504">
        <v>9</v>
      </c>
      <c r="P504" t="s">
        <v>1216</v>
      </c>
    </row>
    <row r="505" spans="1:16" x14ac:dyDescent="0.3">
      <c r="A505" t="s">
        <v>10</v>
      </c>
      <c r="B505">
        <v>24787.65</v>
      </c>
      <c r="C505">
        <v>20454.77</v>
      </c>
      <c r="D505" s="1">
        <v>43801</v>
      </c>
      <c r="E505" t="s">
        <v>99</v>
      </c>
      <c r="F505" t="s">
        <v>83</v>
      </c>
      <c r="G505" t="s">
        <v>13</v>
      </c>
      <c r="H505" t="s">
        <v>110</v>
      </c>
      <c r="I505" t="s">
        <v>27</v>
      </c>
      <c r="J505" t="s">
        <v>662</v>
      </c>
      <c r="K505">
        <v>4332.88</v>
      </c>
      <c r="L505">
        <v>0.17479995078194199</v>
      </c>
      <c r="M505">
        <v>2019</v>
      </c>
      <c r="N505" t="s">
        <v>1182</v>
      </c>
      <c r="O505">
        <v>12</v>
      </c>
      <c r="P505" t="s">
        <v>1217</v>
      </c>
    </row>
    <row r="506" spans="1:16" x14ac:dyDescent="0.3">
      <c r="A506" t="s">
        <v>17</v>
      </c>
      <c r="B506">
        <v>86628.32</v>
      </c>
      <c r="C506">
        <v>72464.59</v>
      </c>
      <c r="D506" s="1">
        <v>43627</v>
      </c>
      <c r="E506" t="s">
        <v>23</v>
      </c>
      <c r="F506" t="s">
        <v>80</v>
      </c>
      <c r="G506" t="s">
        <v>19</v>
      </c>
      <c r="H506" t="s">
        <v>31</v>
      </c>
      <c r="I506" t="s">
        <v>27</v>
      </c>
      <c r="J506" t="s">
        <v>663</v>
      </c>
      <c r="K506">
        <v>14163.73</v>
      </c>
      <c r="L506">
        <v>0.16349999630605799</v>
      </c>
      <c r="M506">
        <v>2019</v>
      </c>
      <c r="N506" t="s">
        <v>1179</v>
      </c>
      <c r="O506">
        <v>6</v>
      </c>
      <c r="P506" t="s">
        <v>1214</v>
      </c>
    </row>
    <row r="507" spans="1:16" x14ac:dyDescent="0.3">
      <c r="A507" t="s">
        <v>17</v>
      </c>
      <c r="B507">
        <v>154936.24</v>
      </c>
      <c r="C507">
        <v>135739.64000000001</v>
      </c>
      <c r="D507" s="1">
        <v>44011</v>
      </c>
      <c r="E507" t="s">
        <v>91</v>
      </c>
      <c r="F507" t="s">
        <v>74</v>
      </c>
      <c r="G507" t="s">
        <v>19</v>
      </c>
      <c r="H507" t="s">
        <v>157</v>
      </c>
      <c r="I507" t="s">
        <v>27</v>
      </c>
      <c r="J507" t="s">
        <v>664</v>
      </c>
      <c r="K507">
        <v>19196.599999999999</v>
      </c>
      <c r="L507">
        <v>0.12389999912221999</v>
      </c>
      <c r="M507">
        <v>2020</v>
      </c>
      <c r="N507" t="s">
        <v>1179</v>
      </c>
      <c r="O507">
        <v>6</v>
      </c>
      <c r="P507" t="s">
        <v>1214</v>
      </c>
    </row>
    <row r="508" spans="1:16" x14ac:dyDescent="0.3">
      <c r="A508" t="s">
        <v>17</v>
      </c>
      <c r="B508">
        <v>36183.97</v>
      </c>
      <c r="C508">
        <v>30579.07</v>
      </c>
      <c r="D508" s="1">
        <v>44082</v>
      </c>
      <c r="E508" t="s">
        <v>91</v>
      </c>
      <c r="F508" t="s">
        <v>144</v>
      </c>
      <c r="G508" t="s">
        <v>19</v>
      </c>
      <c r="H508" t="s">
        <v>49</v>
      </c>
      <c r="I508" t="s">
        <v>32</v>
      </c>
      <c r="J508" t="s">
        <v>665</v>
      </c>
      <c r="K508">
        <v>5604.9</v>
      </c>
      <c r="L508">
        <v>0.15490008420856</v>
      </c>
      <c r="M508">
        <v>2020</v>
      </c>
      <c r="N508" t="s">
        <v>1175</v>
      </c>
      <c r="O508">
        <v>9</v>
      </c>
      <c r="P508" t="s">
        <v>1216</v>
      </c>
    </row>
    <row r="509" spans="1:16" x14ac:dyDescent="0.3">
      <c r="A509" t="s">
        <v>17</v>
      </c>
      <c r="B509">
        <v>71079.8</v>
      </c>
      <c r="C509">
        <v>56778.54</v>
      </c>
      <c r="D509" s="1">
        <v>43784</v>
      </c>
      <c r="E509" t="s">
        <v>29</v>
      </c>
      <c r="F509" t="s">
        <v>135</v>
      </c>
      <c r="G509" t="s">
        <v>19</v>
      </c>
      <c r="H509" t="s">
        <v>49</v>
      </c>
      <c r="I509" t="s">
        <v>27</v>
      </c>
      <c r="J509" t="s">
        <v>666</v>
      </c>
      <c r="K509">
        <v>14301.26</v>
      </c>
      <c r="L509">
        <v>0.201200059651265</v>
      </c>
      <c r="M509">
        <v>2019</v>
      </c>
      <c r="N509" t="s">
        <v>1180</v>
      </c>
      <c r="O509">
        <v>11</v>
      </c>
      <c r="P509" t="s">
        <v>1216</v>
      </c>
    </row>
    <row r="510" spans="1:16" x14ac:dyDescent="0.3">
      <c r="A510" t="s">
        <v>17</v>
      </c>
      <c r="B510">
        <v>111676.46</v>
      </c>
      <c r="C510">
        <v>92791.97</v>
      </c>
      <c r="D510" s="1">
        <v>43683</v>
      </c>
      <c r="E510" t="s">
        <v>76</v>
      </c>
      <c r="F510" t="s">
        <v>126</v>
      </c>
      <c r="G510" t="s">
        <v>19</v>
      </c>
      <c r="H510" t="s">
        <v>157</v>
      </c>
      <c r="I510" t="s">
        <v>27</v>
      </c>
      <c r="J510" t="s">
        <v>667</v>
      </c>
      <c r="K510">
        <v>18884.490000000002</v>
      </c>
      <c r="L510">
        <v>0.16910000549802501</v>
      </c>
      <c r="M510">
        <v>2019</v>
      </c>
      <c r="N510" t="s">
        <v>1171</v>
      </c>
      <c r="O510">
        <v>8</v>
      </c>
      <c r="P510" t="s">
        <v>1214</v>
      </c>
    </row>
    <row r="511" spans="1:16" x14ac:dyDescent="0.3">
      <c r="A511" t="s">
        <v>10</v>
      </c>
      <c r="B511">
        <v>137026.71</v>
      </c>
      <c r="C511">
        <v>120117.61</v>
      </c>
      <c r="D511" s="1">
        <v>44069</v>
      </c>
      <c r="E511" t="s">
        <v>51</v>
      </c>
      <c r="F511" t="s">
        <v>139</v>
      </c>
      <c r="G511" t="s">
        <v>13</v>
      </c>
      <c r="H511" t="s">
        <v>81</v>
      </c>
      <c r="I511" t="s">
        <v>27</v>
      </c>
      <c r="J511" t="s">
        <v>668</v>
      </c>
      <c r="K511">
        <v>16909.099999999999</v>
      </c>
      <c r="L511">
        <v>0.123400029089219</v>
      </c>
      <c r="M511">
        <v>2020</v>
      </c>
      <c r="N511" t="s">
        <v>1171</v>
      </c>
      <c r="O511">
        <v>8</v>
      </c>
      <c r="P511" t="s">
        <v>1214</v>
      </c>
    </row>
    <row r="512" spans="1:16" x14ac:dyDescent="0.3">
      <c r="A512" t="s">
        <v>10</v>
      </c>
      <c r="B512">
        <v>84537.2</v>
      </c>
      <c r="C512">
        <v>69405.039999999994</v>
      </c>
      <c r="D512" s="1">
        <v>43849</v>
      </c>
      <c r="E512" t="s">
        <v>11</v>
      </c>
      <c r="F512" t="s">
        <v>214</v>
      </c>
      <c r="G512" t="s">
        <v>13</v>
      </c>
      <c r="H512" t="s">
        <v>14</v>
      </c>
      <c r="I512" t="s">
        <v>32</v>
      </c>
      <c r="J512" t="s">
        <v>669</v>
      </c>
      <c r="K512">
        <v>15132.16</v>
      </c>
      <c r="L512">
        <v>0.179000014194934</v>
      </c>
      <c r="M512">
        <v>2020</v>
      </c>
      <c r="N512" t="s">
        <v>1177</v>
      </c>
      <c r="O512">
        <v>1</v>
      </c>
      <c r="P512" t="s">
        <v>1217</v>
      </c>
    </row>
    <row r="513" spans="1:16" x14ac:dyDescent="0.3">
      <c r="A513" t="s">
        <v>10</v>
      </c>
      <c r="B513">
        <v>140352.81</v>
      </c>
      <c r="C513">
        <v>122303.44</v>
      </c>
      <c r="D513" s="1">
        <v>43477</v>
      </c>
      <c r="E513" t="s">
        <v>51</v>
      </c>
      <c r="F513" t="s">
        <v>256</v>
      </c>
      <c r="G513" t="s">
        <v>13</v>
      </c>
      <c r="H513" t="s">
        <v>110</v>
      </c>
      <c r="I513" t="s">
        <v>27</v>
      </c>
      <c r="J513" t="s">
        <v>670</v>
      </c>
      <c r="K513">
        <v>18049.37</v>
      </c>
      <c r="L513">
        <v>0.128599990267384</v>
      </c>
      <c r="M513">
        <v>2019</v>
      </c>
      <c r="N513" t="s">
        <v>1177</v>
      </c>
      <c r="O513">
        <v>1</v>
      </c>
      <c r="P513" t="s">
        <v>1217</v>
      </c>
    </row>
    <row r="514" spans="1:16" x14ac:dyDescent="0.3">
      <c r="A514" t="s">
        <v>22</v>
      </c>
      <c r="B514">
        <v>71620.08</v>
      </c>
      <c r="C514">
        <v>62245.01</v>
      </c>
      <c r="D514" s="1">
        <v>43587</v>
      </c>
      <c r="E514" t="s">
        <v>91</v>
      </c>
      <c r="F514" t="s">
        <v>35</v>
      </c>
      <c r="G514" t="s">
        <v>25</v>
      </c>
      <c r="H514" t="s">
        <v>167</v>
      </c>
      <c r="I514" t="s">
        <v>1183</v>
      </c>
      <c r="J514" t="s">
        <v>671</v>
      </c>
      <c r="K514">
        <v>9375.07</v>
      </c>
      <c r="L514">
        <v>0.130900021334799</v>
      </c>
      <c r="M514">
        <v>2019</v>
      </c>
      <c r="N514" t="s">
        <v>1173</v>
      </c>
      <c r="O514">
        <v>5</v>
      </c>
      <c r="P514" t="s">
        <v>1215</v>
      </c>
    </row>
    <row r="515" spans="1:16" x14ac:dyDescent="0.3">
      <c r="A515" t="s">
        <v>22</v>
      </c>
      <c r="B515">
        <v>227830.33</v>
      </c>
      <c r="C515">
        <v>182173.13</v>
      </c>
      <c r="D515" s="1">
        <v>44110</v>
      </c>
      <c r="E515" t="s">
        <v>91</v>
      </c>
      <c r="F515" t="s">
        <v>67</v>
      </c>
      <c r="G515" t="s">
        <v>25</v>
      </c>
      <c r="H515" t="s">
        <v>52</v>
      </c>
      <c r="I515" t="s">
        <v>27</v>
      </c>
      <c r="J515" t="s">
        <v>672</v>
      </c>
      <c r="K515">
        <v>45657.2</v>
      </c>
      <c r="L515">
        <v>0.20040000819908399</v>
      </c>
      <c r="M515">
        <v>2020</v>
      </c>
      <c r="N515" t="s">
        <v>1178</v>
      </c>
      <c r="O515">
        <v>10</v>
      </c>
      <c r="P515" t="s">
        <v>1216</v>
      </c>
    </row>
    <row r="516" spans="1:16" x14ac:dyDescent="0.3">
      <c r="A516" t="s">
        <v>17</v>
      </c>
      <c r="B516">
        <v>235042.75</v>
      </c>
      <c r="C516">
        <v>187446.59</v>
      </c>
      <c r="D516" s="1">
        <v>43824</v>
      </c>
      <c r="E516" t="s">
        <v>91</v>
      </c>
      <c r="F516" t="s">
        <v>222</v>
      </c>
      <c r="G516" t="s">
        <v>19</v>
      </c>
      <c r="H516" t="s">
        <v>78</v>
      </c>
      <c r="I516" t="s">
        <v>27</v>
      </c>
      <c r="J516" t="s">
        <v>673</v>
      </c>
      <c r="K516">
        <v>47596.160000000003</v>
      </c>
      <c r="L516">
        <v>0.202500013295454</v>
      </c>
      <c r="M516">
        <v>2019</v>
      </c>
      <c r="N516" t="s">
        <v>1182</v>
      </c>
      <c r="O516">
        <v>12</v>
      </c>
      <c r="P516" t="s">
        <v>1217</v>
      </c>
    </row>
    <row r="517" spans="1:16" x14ac:dyDescent="0.3">
      <c r="A517" t="s">
        <v>22</v>
      </c>
      <c r="B517">
        <v>50303.66</v>
      </c>
      <c r="C517">
        <v>41103.120000000003</v>
      </c>
      <c r="D517" s="1">
        <v>43983</v>
      </c>
      <c r="E517" t="s">
        <v>23</v>
      </c>
      <c r="F517" t="s">
        <v>222</v>
      </c>
      <c r="G517" t="s">
        <v>25</v>
      </c>
      <c r="H517" t="s">
        <v>167</v>
      </c>
      <c r="I517" t="s">
        <v>27</v>
      </c>
      <c r="J517" t="s">
        <v>674</v>
      </c>
      <c r="K517">
        <v>9200.5400000000009</v>
      </c>
      <c r="L517">
        <v>0.18290001164925199</v>
      </c>
      <c r="M517">
        <v>2020</v>
      </c>
      <c r="N517" t="s">
        <v>1179</v>
      </c>
      <c r="O517">
        <v>6</v>
      </c>
      <c r="P517" t="s">
        <v>1214</v>
      </c>
    </row>
    <row r="518" spans="1:16" x14ac:dyDescent="0.3">
      <c r="A518" t="s">
        <v>17</v>
      </c>
      <c r="B518">
        <v>131097.04999999999</v>
      </c>
      <c r="C518">
        <v>109203.84</v>
      </c>
      <c r="D518" s="1">
        <v>44008</v>
      </c>
      <c r="E518" t="s">
        <v>76</v>
      </c>
      <c r="F518" t="s">
        <v>244</v>
      </c>
      <c r="G518" t="s">
        <v>19</v>
      </c>
      <c r="H518" t="s">
        <v>78</v>
      </c>
      <c r="I518" t="s">
        <v>27</v>
      </c>
      <c r="J518" t="s">
        <v>675</v>
      </c>
      <c r="K518">
        <v>21893.21</v>
      </c>
      <c r="L518">
        <v>0.16700002021403201</v>
      </c>
      <c r="M518">
        <v>2020</v>
      </c>
      <c r="N518" t="s">
        <v>1179</v>
      </c>
      <c r="O518">
        <v>6</v>
      </c>
      <c r="P518" t="s">
        <v>1214</v>
      </c>
    </row>
    <row r="519" spans="1:16" x14ac:dyDescent="0.3">
      <c r="A519" t="s">
        <v>129</v>
      </c>
      <c r="B519">
        <v>204138.34</v>
      </c>
      <c r="C519">
        <v>165617.44</v>
      </c>
      <c r="D519" s="1">
        <v>43636</v>
      </c>
      <c r="E519" t="s">
        <v>40</v>
      </c>
      <c r="F519" t="s">
        <v>302</v>
      </c>
      <c r="G519" t="s">
        <v>130</v>
      </c>
      <c r="H519" t="s">
        <v>159</v>
      </c>
      <c r="I519" t="s">
        <v>15</v>
      </c>
      <c r="J519" t="s">
        <v>676</v>
      </c>
      <c r="K519">
        <v>38520.9</v>
      </c>
      <c r="L519">
        <v>0.18869997669227601</v>
      </c>
      <c r="M519">
        <v>2019</v>
      </c>
      <c r="N519" t="s">
        <v>1179</v>
      </c>
      <c r="O519">
        <v>6</v>
      </c>
      <c r="P519" t="s">
        <v>1214</v>
      </c>
    </row>
    <row r="520" spans="1:16" x14ac:dyDescent="0.3">
      <c r="A520" t="s">
        <v>22</v>
      </c>
      <c r="B520">
        <v>37273.839999999997</v>
      </c>
      <c r="C520">
        <v>31559.759999999998</v>
      </c>
      <c r="D520" s="1">
        <v>43850</v>
      </c>
      <c r="E520" t="s">
        <v>11</v>
      </c>
      <c r="F520" t="s">
        <v>314</v>
      </c>
      <c r="G520" t="s">
        <v>25</v>
      </c>
      <c r="H520" t="s">
        <v>52</v>
      </c>
      <c r="I520" t="s">
        <v>15</v>
      </c>
      <c r="J520" t="s">
        <v>677</v>
      </c>
      <c r="K520">
        <v>5714.08</v>
      </c>
      <c r="L520">
        <v>0.15330000879973699</v>
      </c>
      <c r="M520">
        <v>2020</v>
      </c>
      <c r="N520" t="s">
        <v>1177</v>
      </c>
      <c r="O520">
        <v>1</v>
      </c>
      <c r="P520" t="s">
        <v>1217</v>
      </c>
    </row>
    <row r="521" spans="1:16" x14ac:dyDescent="0.3">
      <c r="A521" t="s">
        <v>17</v>
      </c>
      <c r="B521">
        <v>109697.86</v>
      </c>
      <c r="C521">
        <v>89853.52</v>
      </c>
      <c r="D521" s="1">
        <v>43670</v>
      </c>
      <c r="E521" t="s">
        <v>76</v>
      </c>
      <c r="F521" t="s">
        <v>314</v>
      </c>
      <c r="G521" t="s">
        <v>19</v>
      </c>
      <c r="H521" t="s">
        <v>31</v>
      </c>
      <c r="I521" t="s">
        <v>27</v>
      </c>
      <c r="J521" t="s">
        <v>678</v>
      </c>
      <c r="K521">
        <v>19844.34</v>
      </c>
      <c r="L521">
        <v>0.180899973800765</v>
      </c>
      <c r="M521">
        <v>2019</v>
      </c>
      <c r="N521" t="s">
        <v>1174</v>
      </c>
      <c r="O521">
        <v>7</v>
      </c>
      <c r="P521" t="s">
        <v>1214</v>
      </c>
    </row>
    <row r="522" spans="1:16" x14ac:dyDescent="0.3">
      <c r="A522" t="s">
        <v>143</v>
      </c>
      <c r="B522">
        <v>42475.6</v>
      </c>
      <c r="C522">
        <v>35802.68</v>
      </c>
      <c r="D522" s="1">
        <v>43509</v>
      </c>
      <c r="E522" t="s">
        <v>91</v>
      </c>
      <c r="F522" t="s">
        <v>56</v>
      </c>
      <c r="G522" t="s">
        <v>145</v>
      </c>
      <c r="H522" t="s">
        <v>146</v>
      </c>
      <c r="I522" t="s">
        <v>27</v>
      </c>
      <c r="J522" t="s">
        <v>679</v>
      </c>
      <c r="K522">
        <v>6672.92</v>
      </c>
      <c r="L522">
        <v>0.15710007627908701</v>
      </c>
      <c r="M522">
        <v>2019</v>
      </c>
      <c r="N522" t="s">
        <v>1181</v>
      </c>
      <c r="O522">
        <v>2</v>
      </c>
      <c r="P522" t="s">
        <v>1217</v>
      </c>
    </row>
    <row r="523" spans="1:16" x14ac:dyDescent="0.3">
      <c r="A523" t="s">
        <v>143</v>
      </c>
      <c r="B523">
        <v>81412.100000000006</v>
      </c>
      <c r="C523">
        <v>64747.040000000001</v>
      </c>
      <c r="D523" s="1">
        <v>43627</v>
      </c>
      <c r="E523" t="s">
        <v>29</v>
      </c>
      <c r="F523" t="s">
        <v>56</v>
      </c>
      <c r="G523" t="s">
        <v>145</v>
      </c>
      <c r="H523" t="s">
        <v>206</v>
      </c>
      <c r="I523" t="s">
        <v>27</v>
      </c>
      <c r="J523" t="s">
        <v>680</v>
      </c>
      <c r="K523">
        <v>16665.060000000001</v>
      </c>
      <c r="L523">
        <v>0.20470003844637299</v>
      </c>
      <c r="M523">
        <v>2019</v>
      </c>
      <c r="N523" t="s">
        <v>1179</v>
      </c>
      <c r="O523">
        <v>6</v>
      </c>
      <c r="P523" t="s">
        <v>1214</v>
      </c>
    </row>
    <row r="524" spans="1:16" x14ac:dyDescent="0.3">
      <c r="A524" t="s">
        <v>34</v>
      </c>
      <c r="B524">
        <v>126074.62</v>
      </c>
      <c r="C524">
        <v>100027.6</v>
      </c>
      <c r="D524" s="1">
        <v>44023</v>
      </c>
      <c r="E524" t="s">
        <v>91</v>
      </c>
      <c r="F524" t="s">
        <v>335</v>
      </c>
      <c r="G524" t="s">
        <v>36</v>
      </c>
      <c r="H524" t="s">
        <v>104</v>
      </c>
      <c r="I524" t="s">
        <v>27</v>
      </c>
      <c r="J524" t="s">
        <v>681</v>
      </c>
      <c r="K524">
        <v>26047.02</v>
      </c>
      <c r="L524">
        <v>0.206600027824791</v>
      </c>
      <c r="M524">
        <v>2020</v>
      </c>
      <c r="N524" t="s">
        <v>1174</v>
      </c>
      <c r="O524">
        <v>7</v>
      </c>
      <c r="P524" t="s">
        <v>1214</v>
      </c>
    </row>
    <row r="525" spans="1:16" x14ac:dyDescent="0.3">
      <c r="A525" t="s">
        <v>10</v>
      </c>
      <c r="B525">
        <v>80867.179999999993</v>
      </c>
      <c r="C525">
        <v>63982.11</v>
      </c>
      <c r="D525" s="1">
        <v>43801</v>
      </c>
      <c r="E525" t="s">
        <v>91</v>
      </c>
      <c r="F525" t="s">
        <v>174</v>
      </c>
      <c r="G525" t="s">
        <v>13</v>
      </c>
      <c r="H525" t="s">
        <v>81</v>
      </c>
      <c r="I525" t="s">
        <v>27</v>
      </c>
      <c r="J525" t="s">
        <v>682</v>
      </c>
      <c r="K525">
        <v>16885.07</v>
      </c>
      <c r="L525">
        <v>0.20880003482253201</v>
      </c>
      <c r="M525">
        <v>2019</v>
      </c>
      <c r="N525" t="s">
        <v>1182</v>
      </c>
      <c r="O525">
        <v>12</v>
      </c>
      <c r="P525" t="s">
        <v>1217</v>
      </c>
    </row>
    <row r="526" spans="1:16" x14ac:dyDescent="0.3">
      <c r="A526" t="s">
        <v>34</v>
      </c>
      <c r="B526">
        <v>149486.26999999999</v>
      </c>
      <c r="C526">
        <v>118662.2</v>
      </c>
      <c r="D526" s="1">
        <v>43624</v>
      </c>
      <c r="E526" t="s">
        <v>76</v>
      </c>
      <c r="F526" t="s">
        <v>56</v>
      </c>
      <c r="G526" t="s">
        <v>36</v>
      </c>
      <c r="H526" t="s">
        <v>37</v>
      </c>
      <c r="I526" t="s">
        <v>27</v>
      </c>
      <c r="J526" t="s">
        <v>683</v>
      </c>
      <c r="K526">
        <v>30824.07</v>
      </c>
      <c r="L526">
        <v>0.20620000753246401</v>
      </c>
      <c r="M526">
        <v>2019</v>
      </c>
      <c r="N526" t="s">
        <v>1179</v>
      </c>
      <c r="O526">
        <v>6</v>
      </c>
      <c r="P526" t="s">
        <v>1214</v>
      </c>
    </row>
    <row r="527" spans="1:16" x14ac:dyDescent="0.3">
      <c r="A527" t="s">
        <v>122</v>
      </c>
      <c r="B527">
        <v>111106.06</v>
      </c>
      <c r="C527">
        <v>93195.76</v>
      </c>
      <c r="D527" s="1">
        <v>44146</v>
      </c>
      <c r="E527" t="s">
        <v>11</v>
      </c>
      <c r="F527" t="s">
        <v>285</v>
      </c>
      <c r="G527" t="s">
        <v>123</v>
      </c>
      <c r="H527" t="s">
        <v>124</v>
      </c>
      <c r="I527" t="s">
        <v>27</v>
      </c>
      <c r="J527" t="s">
        <v>684</v>
      </c>
      <c r="K527">
        <v>17910.3</v>
      </c>
      <c r="L527">
        <v>0.16120002815328</v>
      </c>
      <c r="M527">
        <v>2020</v>
      </c>
      <c r="N527" t="s">
        <v>1180</v>
      </c>
      <c r="O527">
        <v>11</v>
      </c>
      <c r="P527" t="s">
        <v>1216</v>
      </c>
    </row>
    <row r="528" spans="1:16" x14ac:dyDescent="0.3">
      <c r="A528" t="s">
        <v>17</v>
      </c>
      <c r="B528">
        <v>115689.22</v>
      </c>
      <c r="C528">
        <v>98127.6</v>
      </c>
      <c r="D528" s="1">
        <v>43661</v>
      </c>
      <c r="E528" t="s">
        <v>40</v>
      </c>
      <c r="F528" t="s">
        <v>97</v>
      </c>
      <c r="G528" t="s">
        <v>19</v>
      </c>
      <c r="H528" t="s">
        <v>49</v>
      </c>
      <c r="I528" t="s">
        <v>27</v>
      </c>
      <c r="J528" t="s">
        <v>685</v>
      </c>
      <c r="K528">
        <v>17561.62</v>
      </c>
      <c r="L528">
        <v>0.15179996891672401</v>
      </c>
      <c r="M528">
        <v>2019</v>
      </c>
      <c r="N528" t="s">
        <v>1174</v>
      </c>
      <c r="O528">
        <v>7</v>
      </c>
      <c r="P528" t="s">
        <v>1214</v>
      </c>
    </row>
    <row r="529" spans="1:16" x14ac:dyDescent="0.3">
      <c r="A529" t="s">
        <v>10</v>
      </c>
      <c r="B529">
        <v>147994.63</v>
      </c>
      <c r="C529">
        <v>129643.3</v>
      </c>
      <c r="D529" s="1">
        <v>43492</v>
      </c>
      <c r="E529" t="s">
        <v>11</v>
      </c>
      <c r="F529" t="s">
        <v>461</v>
      </c>
      <c r="G529" t="s">
        <v>13</v>
      </c>
      <c r="H529" t="s">
        <v>46</v>
      </c>
      <c r="I529" t="s">
        <v>27</v>
      </c>
      <c r="J529" t="s">
        <v>686</v>
      </c>
      <c r="K529">
        <v>18351.330000000002</v>
      </c>
      <c r="L529">
        <v>0.12399997216115199</v>
      </c>
      <c r="M529">
        <v>2019</v>
      </c>
      <c r="N529" t="s">
        <v>1177</v>
      </c>
      <c r="O529">
        <v>1</v>
      </c>
      <c r="P529" t="s">
        <v>1217</v>
      </c>
    </row>
    <row r="530" spans="1:16" x14ac:dyDescent="0.3">
      <c r="A530" t="s">
        <v>122</v>
      </c>
      <c r="B530">
        <v>122998.65</v>
      </c>
      <c r="C530">
        <v>97476.43</v>
      </c>
      <c r="D530" s="1">
        <v>43858</v>
      </c>
      <c r="E530" t="s">
        <v>11</v>
      </c>
      <c r="F530" t="s">
        <v>126</v>
      </c>
      <c r="G530" t="s">
        <v>123</v>
      </c>
      <c r="H530" t="s">
        <v>124</v>
      </c>
      <c r="I530" t="s">
        <v>27</v>
      </c>
      <c r="J530" t="s">
        <v>687</v>
      </c>
      <c r="K530">
        <v>25522.22</v>
      </c>
      <c r="L530">
        <v>0.207500001016271</v>
      </c>
      <c r="M530">
        <v>2020</v>
      </c>
      <c r="N530" t="s">
        <v>1177</v>
      </c>
      <c r="O530">
        <v>1</v>
      </c>
      <c r="P530" t="s">
        <v>1217</v>
      </c>
    </row>
    <row r="531" spans="1:16" x14ac:dyDescent="0.3">
      <c r="A531" t="s">
        <v>17</v>
      </c>
      <c r="B531">
        <v>79833.600000000006</v>
      </c>
      <c r="C531">
        <v>63411.83</v>
      </c>
      <c r="D531" s="1">
        <v>43631</v>
      </c>
      <c r="E531" t="s">
        <v>23</v>
      </c>
      <c r="F531" t="s">
        <v>139</v>
      </c>
      <c r="G531" t="s">
        <v>19</v>
      </c>
      <c r="H531" t="s">
        <v>49</v>
      </c>
      <c r="I531" t="s">
        <v>27</v>
      </c>
      <c r="J531" t="s">
        <v>688</v>
      </c>
      <c r="K531">
        <v>16421.77</v>
      </c>
      <c r="L531">
        <v>0.20569998096039799</v>
      </c>
      <c r="M531">
        <v>2019</v>
      </c>
      <c r="N531" t="s">
        <v>1179</v>
      </c>
      <c r="O531">
        <v>6</v>
      </c>
      <c r="P531" t="s">
        <v>1214</v>
      </c>
    </row>
    <row r="532" spans="1:16" x14ac:dyDescent="0.3">
      <c r="A532" t="s">
        <v>17</v>
      </c>
      <c r="B532">
        <v>90228.68</v>
      </c>
      <c r="C532">
        <v>77966.600000000006</v>
      </c>
      <c r="D532" s="1">
        <v>43492</v>
      </c>
      <c r="E532" t="s">
        <v>29</v>
      </c>
      <c r="F532" t="s">
        <v>89</v>
      </c>
      <c r="G532" t="s">
        <v>19</v>
      </c>
      <c r="H532" t="s">
        <v>49</v>
      </c>
      <c r="I532" t="s">
        <v>27</v>
      </c>
      <c r="J532" t="s">
        <v>689</v>
      </c>
      <c r="K532">
        <v>12262.08</v>
      </c>
      <c r="L532">
        <v>0.13590002646608601</v>
      </c>
      <c r="M532">
        <v>2019</v>
      </c>
      <c r="N532" t="s">
        <v>1177</v>
      </c>
      <c r="O532">
        <v>1</v>
      </c>
      <c r="P532" t="s">
        <v>1217</v>
      </c>
    </row>
    <row r="533" spans="1:16" x14ac:dyDescent="0.3">
      <c r="A533" t="s">
        <v>10</v>
      </c>
      <c r="B533">
        <v>68086.960000000006</v>
      </c>
      <c r="C533">
        <v>58759.05</v>
      </c>
      <c r="D533" s="1">
        <v>43795</v>
      </c>
      <c r="E533" t="s">
        <v>29</v>
      </c>
      <c r="F533" t="s">
        <v>415</v>
      </c>
      <c r="G533" t="s">
        <v>13</v>
      </c>
      <c r="H533" t="s">
        <v>14</v>
      </c>
      <c r="I533" t="s">
        <v>27</v>
      </c>
      <c r="J533" t="s">
        <v>690</v>
      </c>
      <c r="K533">
        <v>9327.91</v>
      </c>
      <c r="L533">
        <v>0.13699994830140799</v>
      </c>
      <c r="M533">
        <v>2019</v>
      </c>
      <c r="N533" t="s">
        <v>1180</v>
      </c>
      <c r="O533">
        <v>11</v>
      </c>
      <c r="P533" t="s">
        <v>1216</v>
      </c>
    </row>
    <row r="534" spans="1:16" x14ac:dyDescent="0.3">
      <c r="A534" t="s">
        <v>22</v>
      </c>
      <c r="B534">
        <v>172202.38</v>
      </c>
      <c r="C534">
        <v>149816.07</v>
      </c>
      <c r="D534" s="1">
        <v>43712</v>
      </c>
      <c r="E534" t="s">
        <v>23</v>
      </c>
      <c r="F534" t="s">
        <v>113</v>
      </c>
      <c r="G534" t="s">
        <v>25</v>
      </c>
      <c r="H534" t="s">
        <v>63</v>
      </c>
      <c r="I534" t="s">
        <v>15</v>
      </c>
      <c r="J534" t="s">
        <v>691</v>
      </c>
      <c r="K534">
        <v>22386.31</v>
      </c>
      <c r="L534">
        <v>0.13000000348427199</v>
      </c>
      <c r="M534">
        <v>2019</v>
      </c>
      <c r="N534" t="s">
        <v>1175</v>
      </c>
      <c r="O534">
        <v>9</v>
      </c>
      <c r="P534" t="s">
        <v>1216</v>
      </c>
    </row>
    <row r="535" spans="1:16" x14ac:dyDescent="0.3">
      <c r="A535" t="s">
        <v>17</v>
      </c>
      <c r="B535">
        <v>144640.79999999999</v>
      </c>
      <c r="C535">
        <v>118345.1</v>
      </c>
      <c r="D535" s="1">
        <v>43773</v>
      </c>
      <c r="E535" t="s">
        <v>29</v>
      </c>
      <c r="F535" t="s">
        <v>300</v>
      </c>
      <c r="G535" t="s">
        <v>19</v>
      </c>
      <c r="H535" t="s">
        <v>49</v>
      </c>
      <c r="I535" t="s">
        <v>27</v>
      </c>
      <c r="J535" t="s">
        <v>692</v>
      </c>
      <c r="K535">
        <v>26295.7</v>
      </c>
      <c r="L535">
        <v>0.18180001769901699</v>
      </c>
      <c r="M535">
        <v>2019</v>
      </c>
      <c r="N535" t="s">
        <v>1180</v>
      </c>
      <c r="O535">
        <v>11</v>
      </c>
      <c r="P535" t="s">
        <v>1216</v>
      </c>
    </row>
    <row r="536" spans="1:16" x14ac:dyDescent="0.3">
      <c r="A536" t="s">
        <v>10</v>
      </c>
      <c r="B536">
        <v>152747.92000000001</v>
      </c>
      <c r="C536">
        <v>130614.75</v>
      </c>
      <c r="D536" s="1">
        <v>43895</v>
      </c>
      <c r="E536" t="s">
        <v>23</v>
      </c>
      <c r="F536" t="s">
        <v>126</v>
      </c>
      <c r="G536" t="s">
        <v>13</v>
      </c>
      <c r="H536" t="s">
        <v>81</v>
      </c>
      <c r="I536" t="s">
        <v>27</v>
      </c>
      <c r="J536" t="s">
        <v>693</v>
      </c>
      <c r="K536">
        <v>22133.17</v>
      </c>
      <c r="L536">
        <v>0.14489997637938401</v>
      </c>
      <c r="M536">
        <v>2020</v>
      </c>
      <c r="N536" t="s">
        <v>1176</v>
      </c>
      <c r="O536">
        <v>3</v>
      </c>
      <c r="P536" t="s">
        <v>1215</v>
      </c>
    </row>
    <row r="537" spans="1:16" x14ac:dyDescent="0.3">
      <c r="A537" t="s">
        <v>17</v>
      </c>
      <c r="B537">
        <v>48890.14</v>
      </c>
      <c r="C537">
        <v>41180.160000000003</v>
      </c>
      <c r="D537" s="1">
        <v>43605</v>
      </c>
      <c r="E537" t="s">
        <v>40</v>
      </c>
      <c r="F537" t="s">
        <v>56</v>
      </c>
      <c r="G537" t="s">
        <v>19</v>
      </c>
      <c r="H537" t="s">
        <v>157</v>
      </c>
      <c r="I537" t="s">
        <v>27</v>
      </c>
      <c r="J537" t="s">
        <v>694</v>
      </c>
      <c r="K537">
        <v>7709.98</v>
      </c>
      <c r="L537">
        <v>0.157700100674696</v>
      </c>
      <c r="M537">
        <v>2019</v>
      </c>
      <c r="N537" t="s">
        <v>1173</v>
      </c>
      <c r="O537">
        <v>5</v>
      </c>
      <c r="P537" t="s">
        <v>1215</v>
      </c>
    </row>
    <row r="538" spans="1:16" x14ac:dyDescent="0.3">
      <c r="A538" t="s">
        <v>22</v>
      </c>
      <c r="B538">
        <v>177919.14</v>
      </c>
      <c r="C538">
        <v>147370.42000000001</v>
      </c>
      <c r="D538" s="1">
        <v>44018</v>
      </c>
      <c r="E538" t="s">
        <v>76</v>
      </c>
      <c r="F538" t="s">
        <v>373</v>
      </c>
      <c r="G538" t="s">
        <v>25</v>
      </c>
      <c r="H538" t="s">
        <v>52</v>
      </c>
      <c r="I538" t="s">
        <v>27</v>
      </c>
      <c r="J538" t="s">
        <v>695</v>
      </c>
      <c r="K538">
        <v>30548.720000000001</v>
      </c>
      <c r="L538">
        <v>0.17170002058238401</v>
      </c>
      <c r="M538">
        <v>2020</v>
      </c>
      <c r="N538" t="s">
        <v>1174</v>
      </c>
      <c r="O538">
        <v>7</v>
      </c>
      <c r="P538" t="s">
        <v>1214</v>
      </c>
    </row>
    <row r="539" spans="1:16" x14ac:dyDescent="0.3">
      <c r="A539" t="s">
        <v>66</v>
      </c>
      <c r="B539">
        <v>68984.17</v>
      </c>
      <c r="C539">
        <v>59560.93</v>
      </c>
      <c r="D539" s="1">
        <v>43770</v>
      </c>
      <c r="E539" t="s">
        <v>76</v>
      </c>
      <c r="F539" t="s">
        <v>308</v>
      </c>
      <c r="G539" t="s">
        <v>68</v>
      </c>
      <c r="H539" t="s">
        <v>69</v>
      </c>
      <c r="I539" t="s">
        <v>27</v>
      </c>
      <c r="J539" t="s">
        <v>696</v>
      </c>
      <c r="K539">
        <v>9423.24</v>
      </c>
      <c r="L539">
        <v>0.13660003447167701</v>
      </c>
      <c r="M539">
        <v>2019</v>
      </c>
      <c r="N539" t="s">
        <v>1180</v>
      </c>
      <c r="O539">
        <v>11</v>
      </c>
      <c r="P539" t="s">
        <v>1216</v>
      </c>
    </row>
    <row r="540" spans="1:16" x14ac:dyDescent="0.3">
      <c r="A540" t="s">
        <v>122</v>
      </c>
      <c r="B540">
        <v>230669.37</v>
      </c>
      <c r="C540">
        <v>182321.07</v>
      </c>
      <c r="D540" s="1">
        <v>43591</v>
      </c>
      <c r="E540" t="s">
        <v>91</v>
      </c>
      <c r="F540" t="s">
        <v>97</v>
      </c>
      <c r="G540" t="s">
        <v>123</v>
      </c>
      <c r="H540" t="s">
        <v>124</v>
      </c>
      <c r="I540" t="s">
        <v>27</v>
      </c>
      <c r="J540" t="s">
        <v>697</v>
      </c>
      <c r="K540">
        <v>48348.3</v>
      </c>
      <c r="L540">
        <v>0.20960000020809</v>
      </c>
      <c r="M540">
        <v>2019</v>
      </c>
      <c r="N540" t="s">
        <v>1173</v>
      </c>
      <c r="O540">
        <v>5</v>
      </c>
      <c r="P540" t="s">
        <v>1215</v>
      </c>
    </row>
    <row r="541" spans="1:16" x14ac:dyDescent="0.3">
      <c r="A541" t="s">
        <v>34</v>
      </c>
      <c r="B541">
        <v>91561.49</v>
      </c>
      <c r="C541">
        <v>78266.759999999995</v>
      </c>
      <c r="D541" s="1">
        <v>43549</v>
      </c>
      <c r="E541" t="s">
        <v>91</v>
      </c>
      <c r="F541" t="s">
        <v>126</v>
      </c>
      <c r="G541" t="s">
        <v>36</v>
      </c>
      <c r="H541" t="s">
        <v>104</v>
      </c>
      <c r="I541" t="s">
        <v>27</v>
      </c>
      <c r="J541" t="s">
        <v>698</v>
      </c>
      <c r="K541">
        <v>13294.73</v>
      </c>
      <c r="L541">
        <v>0.14520001804252</v>
      </c>
      <c r="M541">
        <v>2019</v>
      </c>
      <c r="N541" t="s">
        <v>1176</v>
      </c>
      <c r="O541">
        <v>3</v>
      </c>
      <c r="P541" t="s">
        <v>1215</v>
      </c>
    </row>
    <row r="542" spans="1:16" x14ac:dyDescent="0.3">
      <c r="A542" t="s">
        <v>10</v>
      </c>
      <c r="B542">
        <v>89502.53</v>
      </c>
      <c r="C542">
        <v>72488.100000000006</v>
      </c>
      <c r="D542" s="1">
        <v>44135</v>
      </c>
      <c r="E542" t="s">
        <v>40</v>
      </c>
      <c r="F542" t="s">
        <v>396</v>
      </c>
      <c r="G542" t="s">
        <v>13</v>
      </c>
      <c r="H542" t="s">
        <v>14</v>
      </c>
      <c r="I542" t="s">
        <v>27</v>
      </c>
      <c r="J542" t="s">
        <v>699</v>
      </c>
      <c r="K542">
        <v>17014.43</v>
      </c>
      <c r="L542">
        <v>0.190099989352256</v>
      </c>
      <c r="M542">
        <v>2020</v>
      </c>
      <c r="N542" t="s">
        <v>1178</v>
      </c>
      <c r="O542">
        <v>10</v>
      </c>
      <c r="P542" t="s">
        <v>1216</v>
      </c>
    </row>
    <row r="543" spans="1:16" x14ac:dyDescent="0.3">
      <c r="A543" t="s">
        <v>22</v>
      </c>
      <c r="B543">
        <v>116023.51</v>
      </c>
      <c r="C543">
        <v>96566.37</v>
      </c>
      <c r="D543" s="1">
        <v>43867</v>
      </c>
      <c r="E543" t="s">
        <v>51</v>
      </c>
      <c r="F543" t="s">
        <v>133</v>
      </c>
      <c r="G543" t="s">
        <v>25</v>
      </c>
      <c r="H543" t="s">
        <v>167</v>
      </c>
      <c r="I543" t="s">
        <v>27</v>
      </c>
      <c r="J543" t="s">
        <v>700</v>
      </c>
      <c r="K543">
        <v>19457.14</v>
      </c>
      <c r="L543">
        <v>0.16769997735803699</v>
      </c>
      <c r="M543">
        <v>2020</v>
      </c>
      <c r="N543" t="s">
        <v>1181</v>
      </c>
      <c r="O543">
        <v>2</v>
      </c>
      <c r="P543" t="s">
        <v>1217</v>
      </c>
    </row>
    <row r="544" spans="1:16" x14ac:dyDescent="0.3">
      <c r="A544" t="s">
        <v>10</v>
      </c>
      <c r="B544">
        <v>83119.87</v>
      </c>
      <c r="C544">
        <v>69604.58</v>
      </c>
      <c r="D544" s="1">
        <v>43494</v>
      </c>
      <c r="E544" t="s">
        <v>40</v>
      </c>
      <c r="F544" t="s">
        <v>67</v>
      </c>
      <c r="G544" t="s">
        <v>13</v>
      </c>
      <c r="H544" t="s">
        <v>46</v>
      </c>
      <c r="I544" t="s">
        <v>27</v>
      </c>
      <c r="J544" t="s">
        <v>701</v>
      </c>
      <c r="K544">
        <v>13515.29</v>
      </c>
      <c r="L544">
        <v>0.162599989629435</v>
      </c>
      <c r="M544">
        <v>2019</v>
      </c>
      <c r="N544" t="s">
        <v>1177</v>
      </c>
      <c r="O544">
        <v>1</v>
      </c>
      <c r="P544" t="s">
        <v>1217</v>
      </c>
    </row>
    <row r="545" spans="1:16" x14ac:dyDescent="0.3">
      <c r="A545" t="s">
        <v>22</v>
      </c>
      <c r="B545">
        <v>126974.92</v>
      </c>
      <c r="C545">
        <v>101516.45</v>
      </c>
      <c r="D545" s="1">
        <v>43478</v>
      </c>
      <c r="E545" t="s">
        <v>11</v>
      </c>
      <c r="F545" t="s">
        <v>244</v>
      </c>
      <c r="G545" t="s">
        <v>25</v>
      </c>
      <c r="H545" t="s">
        <v>63</v>
      </c>
      <c r="I545" t="s">
        <v>27</v>
      </c>
      <c r="J545" t="s">
        <v>702</v>
      </c>
      <c r="K545">
        <v>25458.47</v>
      </c>
      <c r="L545">
        <v>0.200499988501666</v>
      </c>
      <c r="M545">
        <v>2019</v>
      </c>
      <c r="N545" t="s">
        <v>1177</v>
      </c>
      <c r="O545">
        <v>1</v>
      </c>
      <c r="P545" t="s">
        <v>1217</v>
      </c>
    </row>
    <row r="546" spans="1:16" x14ac:dyDescent="0.3">
      <c r="A546" t="s">
        <v>17</v>
      </c>
      <c r="B546">
        <v>40535.64</v>
      </c>
      <c r="C546">
        <v>35480.85</v>
      </c>
      <c r="D546" s="1">
        <v>43478</v>
      </c>
      <c r="E546" t="s">
        <v>29</v>
      </c>
      <c r="F546" t="s">
        <v>80</v>
      </c>
      <c r="G546" t="s">
        <v>19</v>
      </c>
      <c r="H546" t="s">
        <v>31</v>
      </c>
      <c r="I546" t="s">
        <v>27</v>
      </c>
      <c r="J546" t="s">
        <v>703</v>
      </c>
      <c r="K546">
        <v>5054.79</v>
      </c>
      <c r="L546">
        <v>0.124699893723153</v>
      </c>
      <c r="M546">
        <v>2019</v>
      </c>
      <c r="N546" t="s">
        <v>1177</v>
      </c>
      <c r="O546">
        <v>1</v>
      </c>
      <c r="P546" t="s">
        <v>1217</v>
      </c>
    </row>
    <row r="547" spans="1:16" x14ac:dyDescent="0.3">
      <c r="A547" t="s">
        <v>10</v>
      </c>
      <c r="B547">
        <v>88329.48</v>
      </c>
      <c r="C547">
        <v>73755.12</v>
      </c>
      <c r="D547" s="1">
        <v>44059</v>
      </c>
      <c r="E547" t="s">
        <v>40</v>
      </c>
      <c r="F547" t="s">
        <v>229</v>
      </c>
      <c r="G547" t="s">
        <v>13</v>
      </c>
      <c r="H547" t="s">
        <v>110</v>
      </c>
      <c r="I547" t="s">
        <v>32</v>
      </c>
      <c r="J547" t="s">
        <v>704</v>
      </c>
      <c r="K547">
        <v>14574.36</v>
      </c>
      <c r="L547">
        <v>0.16499995245075599</v>
      </c>
      <c r="M547">
        <v>2020</v>
      </c>
      <c r="N547" t="s">
        <v>1171</v>
      </c>
      <c r="O547">
        <v>8</v>
      </c>
      <c r="P547" t="s">
        <v>1214</v>
      </c>
    </row>
    <row r="548" spans="1:16" x14ac:dyDescent="0.3">
      <c r="A548" t="s">
        <v>17</v>
      </c>
      <c r="B548">
        <v>42290.45</v>
      </c>
      <c r="C548">
        <v>34255.26</v>
      </c>
      <c r="D548" s="1">
        <v>43749</v>
      </c>
      <c r="E548" t="s">
        <v>40</v>
      </c>
      <c r="F548" t="s">
        <v>373</v>
      </c>
      <c r="G548" t="s">
        <v>19</v>
      </c>
      <c r="H548" t="s">
        <v>49</v>
      </c>
      <c r="I548" t="s">
        <v>15</v>
      </c>
      <c r="J548" t="s">
        <v>705</v>
      </c>
      <c r="K548">
        <v>8035.19</v>
      </c>
      <c r="L548">
        <v>0.19000010640700199</v>
      </c>
      <c r="M548">
        <v>2019</v>
      </c>
      <c r="N548" t="s">
        <v>1178</v>
      </c>
      <c r="O548">
        <v>10</v>
      </c>
      <c r="P548" t="s">
        <v>1216</v>
      </c>
    </row>
    <row r="549" spans="1:16" x14ac:dyDescent="0.3">
      <c r="A549" t="s">
        <v>10</v>
      </c>
      <c r="B549">
        <v>100578.6</v>
      </c>
      <c r="C549">
        <v>83208.679999999993</v>
      </c>
      <c r="D549" s="1">
        <v>43479</v>
      </c>
      <c r="E549" t="s">
        <v>29</v>
      </c>
      <c r="F549" t="s">
        <v>41</v>
      </c>
      <c r="G549" t="s">
        <v>13</v>
      </c>
      <c r="H549" t="s">
        <v>110</v>
      </c>
      <c r="I549" t="s">
        <v>27</v>
      </c>
      <c r="J549" t="s">
        <v>706</v>
      </c>
      <c r="K549">
        <v>17369.919999999998</v>
      </c>
      <c r="L549">
        <v>0.172699958042765</v>
      </c>
      <c r="M549">
        <v>2019</v>
      </c>
      <c r="N549" t="s">
        <v>1177</v>
      </c>
      <c r="O549">
        <v>1</v>
      </c>
      <c r="P549" t="s">
        <v>1217</v>
      </c>
    </row>
    <row r="550" spans="1:16" x14ac:dyDescent="0.3">
      <c r="A550" t="s">
        <v>122</v>
      </c>
      <c r="B550">
        <v>138153.70000000001</v>
      </c>
      <c r="C550">
        <v>112926.83</v>
      </c>
      <c r="D550" s="1">
        <v>43510</v>
      </c>
      <c r="E550" t="s">
        <v>11</v>
      </c>
      <c r="F550" t="s">
        <v>139</v>
      </c>
      <c r="G550" t="s">
        <v>123</v>
      </c>
      <c r="H550" t="s">
        <v>124</v>
      </c>
      <c r="I550" t="s">
        <v>27</v>
      </c>
      <c r="J550" t="s">
        <v>707</v>
      </c>
      <c r="K550">
        <v>25226.87</v>
      </c>
      <c r="L550">
        <v>0.18260003170382</v>
      </c>
      <c r="M550">
        <v>2019</v>
      </c>
      <c r="N550" t="s">
        <v>1181</v>
      </c>
      <c r="O550">
        <v>2</v>
      </c>
      <c r="P550" t="s">
        <v>1217</v>
      </c>
    </row>
    <row r="551" spans="1:16" x14ac:dyDescent="0.3">
      <c r="A551" t="s">
        <v>22</v>
      </c>
      <c r="B551">
        <v>120332.26</v>
      </c>
      <c r="C551">
        <v>102282.42</v>
      </c>
      <c r="D551" s="1">
        <v>43844</v>
      </c>
      <c r="E551" t="s">
        <v>40</v>
      </c>
      <c r="F551" t="s">
        <v>177</v>
      </c>
      <c r="G551" t="s">
        <v>25</v>
      </c>
      <c r="H551" t="s">
        <v>63</v>
      </c>
      <c r="I551" t="s">
        <v>15</v>
      </c>
      <c r="J551" t="s">
        <v>708</v>
      </c>
      <c r="K551">
        <v>18049.84</v>
      </c>
      <c r="L551">
        <v>0.15000000831032301</v>
      </c>
      <c r="M551">
        <v>2020</v>
      </c>
      <c r="N551" t="s">
        <v>1177</v>
      </c>
      <c r="O551">
        <v>1</v>
      </c>
      <c r="P551" t="s">
        <v>1217</v>
      </c>
    </row>
    <row r="552" spans="1:16" x14ac:dyDescent="0.3">
      <c r="A552" t="s">
        <v>151</v>
      </c>
      <c r="B552">
        <v>85294.3</v>
      </c>
      <c r="C552">
        <v>72662.210000000006</v>
      </c>
      <c r="D552" s="1">
        <v>43915</v>
      </c>
      <c r="E552" t="s">
        <v>76</v>
      </c>
      <c r="F552" t="s">
        <v>109</v>
      </c>
      <c r="G552" t="s">
        <v>152</v>
      </c>
      <c r="H552" t="s">
        <v>197</v>
      </c>
      <c r="I552" t="s">
        <v>27</v>
      </c>
      <c r="J552" t="s">
        <v>709</v>
      </c>
      <c r="K552">
        <v>12632.09</v>
      </c>
      <c r="L552">
        <v>0.148100048889551</v>
      </c>
      <c r="M552">
        <v>2020</v>
      </c>
      <c r="N552" t="s">
        <v>1176</v>
      </c>
      <c r="O552">
        <v>3</v>
      </c>
      <c r="P552" t="s">
        <v>1215</v>
      </c>
    </row>
    <row r="553" spans="1:16" x14ac:dyDescent="0.3">
      <c r="A553" t="s">
        <v>17</v>
      </c>
      <c r="B553">
        <v>110878.97</v>
      </c>
      <c r="C553">
        <v>90588.12</v>
      </c>
      <c r="D553" s="1">
        <v>43984</v>
      </c>
      <c r="E553" t="s">
        <v>23</v>
      </c>
      <c r="F553" t="s">
        <v>12</v>
      </c>
      <c r="G553" t="s">
        <v>19</v>
      </c>
      <c r="H553" t="s">
        <v>20</v>
      </c>
      <c r="I553" t="s">
        <v>27</v>
      </c>
      <c r="J553" t="s">
        <v>710</v>
      </c>
      <c r="K553">
        <v>20290.849999999999</v>
      </c>
      <c r="L553">
        <v>0.18299998638154699</v>
      </c>
      <c r="M553">
        <v>2020</v>
      </c>
      <c r="N553" t="s">
        <v>1179</v>
      </c>
      <c r="O553">
        <v>6</v>
      </c>
      <c r="P553" t="s">
        <v>1214</v>
      </c>
    </row>
    <row r="554" spans="1:16" x14ac:dyDescent="0.3">
      <c r="A554" t="s">
        <v>151</v>
      </c>
      <c r="B554">
        <v>77278.679999999993</v>
      </c>
      <c r="C554">
        <v>62951.21</v>
      </c>
      <c r="D554" s="1">
        <v>43871</v>
      </c>
      <c r="E554" t="s">
        <v>51</v>
      </c>
      <c r="F554" t="s">
        <v>174</v>
      </c>
      <c r="G554" t="s">
        <v>152</v>
      </c>
      <c r="H554" t="s">
        <v>153</v>
      </c>
      <c r="I554" t="s">
        <v>27</v>
      </c>
      <c r="J554" t="s">
        <v>711</v>
      </c>
      <c r="K554">
        <v>14327.47</v>
      </c>
      <c r="L554">
        <v>0.18540003530081001</v>
      </c>
      <c r="M554">
        <v>2020</v>
      </c>
      <c r="N554" t="s">
        <v>1181</v>
      </c>
      <c r="O554">
        <v>2</v>
      </c>
      <c r="P554" t="s">
        <v>1217</v>
      </c>
    </row>
    <row r="555" spans="1:16" x14ac:dyDescent="0.3">
      <c r="A555" t="s">
        <v>17</v>
      </c>
      <c r="B555">
        <v>141112.84</v>
      </c>
      <c r="C555">
        <v>120044.69</v>
      </c>
      <c r="D555" s="1">
        <v>44051</v>
      </c>
      <c r="E555" t="s">
        <v>29</v>
      </c>
      <c r="F555" t="s">
        <v>335</v>
      </c>
      <c r="G555" t="s">
        <v>19</v>
      </c>
      <c r="H555" t="s">
        <v>49</v>
      </c>
      <c r="I555" t="s">
        <v>32</v>
      </c>
      <c r="J555" t="s">
        <v>712</v>
      </c>
      <c r="K555">
        <v>21068.15</v>
      </c>
      <c r="L555">
        <v>0.149300021174544</v>
      </c>
      <c r="M555">
        <v>2020</v>
      </c>
      <c r="N555" t="s">
        <v>1171</v>
      </c>
      <c r="O555">
        <v>8</v>
      </c>
      <c r="P555" t="s">
        <v>1214</v>
      </c>
    </row>
    <row r="556" spans="1:16" x14ac:dyDescent="0.3">
      <c r="A556" t="s">
        <v>34</v>
      </c>
      <c r="B556">
        <v>173722.59</v>
      </c>
      <c r="C556">
        <v>148063.76</v>
      </c>
      <c r="D556" s="1">
        <v>43712</v>
      </c>
      <c r="E556" t="s">
        <v>11</v>
      </c>
      <c r="F556" t="s">
        <v>156</v>
      </c>
      <c r="G556" t="s">
        <v>36</v>
      </c>
      <c r="H556" t="s">
        <v>93</v>
      </c>
      <c r="I556" t="s">
        <v>27</v>
      </c>
      <c r="J556" t="s">
        <v>713</v>
      </c>
      <c r="K556">
        <v>25658.83</v>
      </c>
      <c r="L556">
        <v>0.14770001989954201</v>
      </c>
      <c r="M556">
        <v>2019</v>
      </c>
      <c r="N556" t="s">
        <v>1175</v>
      </c>
      <c r="O556">
        <v>9</v>
      </c>
      <c r="P556" t="s">
        <v>1216</v>
      </c>
    </row>
    <row r="557" spans="1:16" x14ac:dyDescent="0.3">
      <c r="A557" t="s">
        <v>17</v>
      </c>
      <c r="B557">
        <v>47680.2</v>
      </c>
      <c r="C557">
        <v>40575.85</v>
      </c>
      <c r="D557" s="1">
        <v>43684</v>
      </c>
      <c r="E557" t="s">
        <v>40</v>
      </c>
      <c r="F557" t="s">
        <v>174</v>
      </c>
      <c r="G557" t="s">
        <v>19</v>
      </c>
      <c r="H557" t="s">
        <v>31</v>
      </c>
      <c r="I557" t="s">
        <v>27</v>
      </c>
      <c r="J557" t="s">
        <v>714</v>
      </c>
      <c r="K557">
        <v>7104.35</v>
      </c>
      <c r="L557">
        <v>0.14900000419461301</v>
      </c>
      <c r="M557">
        <v>2019</v>
      </c>
      <c r="N557" t="s">
        <v>1171</v>
      </c>
      <c r="O557">
        <v>8</v>
      </c>
      <c r="P557" t="s">
        <v>1214</v>
      </c>
    </row>
    <row r="558" spans="1:16" x14ac:dyDescent="0.3">
      <c r="A558" t="s">
        <v>151</v>
      </c>
      <c r="B558">
        <v>50495.53</v>
      </c>
      <c r="C558">
        <v>40749.89</v>
      </c>
      <c r="D558" s="1">
        <v>44074</v>
      </c>
      <c r="E558" t="s">
        <v>51</v>
      </c>
      <c r="F558" t="s">
        <v>471</v>
      </c>
      <c r="G558" t="s">
        <v>152</v>
      </c>
      <c r="H558" t="s">
        <v>153</v>
      </c>
      <c r="I558" t="s">
        <v>32</v>
      </c>
      <c r="J558" t="s">
        <v>715</v>
      </c>
      <c r="K558">
        <v>9745.64</v>
      </c>
      <c r="L558">
        <v>0.19300005366811701</v>
      </c>
      <c r="M558">
        <v>2020</v>
      </c>
      <c r="N558" t="s">
        <v>1171</v>
      </c>
      <c r="O558">
        <v>8</v>
      </c>
      <c r="P558" t="s">
        <v>1214</v>
      </c>
    </row>
    <row r="559" spans="1:16" x14ac:dyDescent="0.3">
      <c r="A559" t="s">
        <v>10</v>
      </c>
      <c r="B559">
        <v>114427.36</v>
      </c>
      <c r="C559">
        <v>93727.45</v>
      </c>
      <c r="D559" s="1">
        <v>44138</v>
      </c>
      <c r="E559" t="s">
        <v>99</v>
      </c>
      <c r="F559" t="s">
        <v>133</v>
      </c>
      <c r="G559" t="s">
        <v>13</v>
      </c>
      <c r="H559" t="s">
        <v>72</v>
      </c>
      <c r="I559" t="s">
        <v>27</v>
      </c>
      <c r="J559" t="s">
        <v>716</v>
      </c>
      <c r="K559">
        <v>20699.91</v>
      </c>
      <c r="L559">
        <v>0.180900005033761</v>
      </c>
      <c r="M559">
        <v>2020</v>
      </c>
      <c r="N559" t="s">
        <v>1180</v>
      </c>
      <c r="O559">
        <v>11</v>
      </c>
      <c r="P559" t="s">
        <v>1216</v>
      </c>
    </row>
    <row r="560" spans="1:16" x14ac:dyDescent="0.3">
      <c r="A560" t="s">
        <v>10</v>
      </c>
      <c r="B560">
        <v>44147.92</v>
      </c>
      <c r="C560">
        <v>37163.72</v>
      </c>
      <c r="D560" s="1">
        <v>43969</v>
      </c>
      <c r="E560" t="s">
        <v>76</v>
      </c>
      <c r="F560" t="s">
        <v>300</v>
      </c>
      <c r="G560" t="s">
        <v>13</v>
      </c>
      <c r="H560" t="s">
        <v>72</v>
      </c>
      <c r="I560" t="s">
        <v>27</v>
      </c>
      <c r="J560" t="s">
        <v>717</v>
      </c>
      <c r="K560">
        <v>6984.2</v>
      </c>
      <c r="L560">
        <v>0.158199978617339</v>
      </c>
      <c r="M560">
        <v>2020</v>
      </c>
      <c r="N560" t="s">
        <v>1173</v>
      </c>
      <c r="O560">
        <v>5</v>
      </c>
      <c r="P560" t="s">
        <v>1215</v>
      </c>
    </row>
    <row r="561" spans="1:16" x14ac:dyDescent="0.3">
      <c r="A561" t="s">
        <v>17</v>
      </c>
      <c r="B561">
        <v>37397.43</v>
      </c>
      <c r="C561">
        <v>30837.919999999998</v>
      </c>
      <c r="D561" s="1">
        <v>43968</v>
      </c>
      <c r="E561" t="s">
        <v>11</v>
      </c>
      <c r="F561" t="s">
        <v>24</v>
      </c>
      <c r="G561" t="s">
        <v>19</v>
      </c>
      <c r="H561" t="s">
        <v>49</v>
      </c>
      <c r="I561" t="s">
        <v>27</v>
      </c>
      <c r="J561" t="s">
        <v>718</v>
      </c>
      <c r="K561">
        <v>6559.51</v>
      </c>
      <c r="L561">
        <v>0.17540002080356901</v>
      </c>
      <c r="M561">
        <v>2020</v>
      </c>
      <c r="N561" t="s">
        <v>1173</v>
      </c>
      <c r="O561">
        <v>5</v>
      </c>
      <c r="P561" t="s">
        <v>1215</v>
      </c>
    </row>
    <row r="562" spans="1:16" x14ac:dyDescent="0.3">
      <c r="A562" t="s">
        <v>22</v>
      </c>
      <c r="B562">
        <v>168773.6</v>
      </c>
      <c r="C562">
        <v>137398.59</v>
      </c>
      <c r="D562" s="1">
        <v>43699</v>
      </c>
      <c r="E562" t="s">
        <v>11</v>
      </c>
      <c r="F562" t="s">
        <v>133</v>
      </c>
      <c r="G562" t="s">
        <v>25</v>
      </c>
      <c r="H562" t="s">
        <v>26</v>
      </c>
      <c r="I562" t="s">
        <v>27</v>
      </c>
      <c r="J562" t="s">
        <v>719</v>
      </c>
      <c r="K562">
        <v>31375.01</v>
      </c>
      <c r="L562">
        <v>0.18589998672778199</v>
      </c>
      <c r="M562">
        <v>2019</v>
      </c>
      <c r="N562" t="s">
        <v>1171</v>
      </c>
      <c r="O562">
        <v>8</v>
      </c>
      <c r="P562" t="s">
        <v>1214</v>
      </c>
    </row>
    <row r="563" spans="1:16" x14ac:dyDescent="0.3">
      <c r="A563" t="s">
        <v>10</v>
      </c>
      <c r="B563">
        <v>71049.09</v>
      </c>
      <c r="C563">
        <v>58842.86</v>
      </c>
      <c r="D563" s="1">
        <v>43692</v>
      </c>
      <c r="E563" t="s">
        <v>181</v>
      </c>
      <c r="F563" t="s">
        <v>229</v>
      </c>
      <c r="G563" t="s">
        <v>13</v>
      </c>
      <c r="H563" t="s">
        <v>72</v>
      </c>
      <c r="I563" t="s">
        <v>27</v>
      </c>
      <c r="J563" t="s">
        <v>720</v>
      </c>
      <c r="K563">
        <v>12206.23</v>
      </c>
      <c r="L563">
        <v>0.17179994845817201</v>
      </c>
      <c r="M563">
        <v>2019</v>
      </c>
      <c r="N563" t="s">
        <v>1171</v>
      </c>
      <c r="O563">
        <v>8</v>
      </c>
      <c r="P563" t="s">
        <v>1214</v>
      </c>
    </row>
    <row r="564" spans="1:16" x14ac:dyDescent="0.3">
      <c r="A564" t="s">
        <v>17</v>
      </c>
      <c r="B564">
        <v>62788.04</v>
      </c>
      <c r="C564">
        <v>53049.61</v>
      </c>
      <c r="D564" s="1">
        <v>43874</v>
      </c>
      <c r="E564" t="s">
        <v>23</v>
      </c>
      <c r="F564" t="s">
        <v>97</v>
      </c>
      <c r="G564" t="s">
        <v>19</v>
      </c>
      <c r="H564" t="s">
        <v>49</v>
      </c>
      <c r="I564" t="s">
        <v>27</v>
      </c>
      <c r="J564" t="s">
        <v>721</v>
      </c>
      <c r="K564">
        <v>9738.43</v>
      </c>
      <c r="L564">
        <v>0.155100079569294</v>
      </c>
      <c r="M564">
        <v>2020</v>
      </c>
      <c r="N564" t="s">
        <v>1181</v>
      </c>
      <c r="O564">
        <v>2</v>
      </c>
      <c r="P564" t="s">
        <v>1217</v>
      </c>
    </row>
    <row r="565" spans="1:16" x14ac:dyDescent="0.3">
      <c r="A565" t="s">
        <v>17</v>
      </c>
      <c r="B565">
        <v>249915.21</v>
      </c>
      <c r="C565">
        <v>215326.95</v>
      </c>
      <c r="D565" s="1">
        <v>44180</v>
      </c>
      <c r="E565" t="s">
        <v>23</v>
      </c>
      <c r="F565" t="s">
        <v>126</v>
      </c>
      <c r="G565" t="s">
        <v>19</v>
      </c>
      <c r="H565" t="s">
        <v>31</v>
      </c>
      <c r="I565" t="s">
        <v>27</v>
      </c>
      <c r="J565" t="s">
        <v>722</v>
      </c>
      <c r="K565">
        <v>34588.26</v>
      </c>
      <c r="L565">
        <v>0.138399979737128</v>
      </c>
      <c r="M565">
        <v>2020</v>
      </c>
      <c r="N565" t="s">
        <v>1182</v>
      </c>
      <c r="O565">
        <v>12</v>
      </c>
      <c r="P565" t="s">
        <v>1217</v>
      </c>
    </row>
    <row r="566" spans="1:16" x14ac:dyDescent="0.3">
      <c r="A566" t="s">
        <v>129</v>
      </c>
      <c r="B566">
        <v>178189.57</v>
      </c>
      <c r="C566">
        <v>153421.22</v>
      </c>
      <c r="D566" s="1">
        <v>43716</v>
      </c>
      <c r="E566" t="s">
        <v>11</v>
      </c>
      <c r="F566" t="s">
        <v>56</v>
      </c>
      <c r="G566" t="s">
        <v>130</v>
      </c>
      <c r="H566" t="s">
        <v>131</v>
      </c>
      <c r="I566" t="s">
        <v>27</v>
      </c>
      <c r="J566" t="s">
        <v>723</v>
      </c>
      <c r="K566">
        <v>24768.35</v>
      </c>
      <c r="L566">
        <v>0.13899999870924001</v>
      </c>
      <c r="M566">
        <v>2019</v>
      </c>
      <c r="N566" t="s">
        <v>1175</v>
      </c>
      <c r="O566">
        <v>9</v>
      </c>
      <c r="P566" t="s">
        <v>1216</v>
      </c>
    </row>
    <row r="567" spans="1:16" x14ac:dyDescent="0.3">
      <c r="A567" t="s">
        <v>10</v>
      </c>
      <c r="B567">
        <v>103839.74</v>
      </c>
      <c r="C567">
        <v>90683.24</v>
      </c>
      <c r="D567" s="1">
        <v>44066</v>
      </c>
      <c r="E567" t="s">
        <v>91</v>
      </c>
      <c r="F567" t="s">
        <v>35</v>
      </c>
      <c r="G567" t="s">
        <v>13</v>
      </c>
      <c r="H567" t="s">
        <v>14</v>
      </c>
      <c r="I567" t="s">
        <v>27</v>
      </c>
      <c r="J567" t="s">
        <v>724</v>
      </c>
      <c r="K567">
        <v>13156.5</v>
      </c>
      <c r="L567">
        <v>0.126700047592569</v>
      </c>
      <c r="M567">
        <v>2020</v>
      </c>
      <c r="N567" t="s">
        <v>1171</v>
      </c>
      <c r="O567">
        <v>8</v>
      </c>
      <c r="P567" t="s">
        <v>1214</v>
      </c>
    </row>
    <row r="568" spans="1:16" x14ac:dyDescent="0.3">
      <c r="A568" t="s">
        <v>22</v>
      </c>
      <c r="B568">
        <v>55132.39</v>
      </c>
      <c r="C568">
        <v>47121.65</v>
      </c>
      <c r="D568" s="1">
        <v>43775</v>
      </c>
      <c r="E568" t="s">
        <v>40</v>
      </c>
      <c r="F568" t="s">
        <v>92</v>
      </c>
      <c r="G568" t="s">
        <v>25</v>
      </c>
      <c r="H568" t="s">
        <v>63</v>
      </c>
      <c r="I568" t="s">
        <v>27</v>
      </c>
      <c r="J568" t="s">
        <v>725</v>
      </c>
      <c r="K568">
        <v>8010.74</v>
      </c>
      <c r="L568">
        <v>0.14530006770974399</v>
      </c>
      <c r="M568">
        <v>2019</v>
      </c>
      <c r="N568" t="s">
        <v>1180</v>
      </c>
      <c r="O568">
        <v>11</v>
      </c>
      <c r="P568" t="s">
        <v>1216</v>
      </c>
    </row>
    <row r="569" spans="1:16" x14ac:dyDescent="0.3">
      <c r="A569" t="s">
        <v>22</v>
      </c>
      <c r="B569">
        <v>163492.16</v>
      </c>
      <c r="C569">
        <v>134178.01999999999</v>
      </c>
      <c r="D569" s="1">
        <v>44173</v>
      </c>
      <c r="E569" t="s">
        <v>23</v>
      </c>
      <c r="F569" t="s">
        <v>86</v>
      </c>
      <c r="G569" t="s">
        <v>25</v>
      </c>
      <c r="H569" t="s">
        <v>26</v>
      </c>
      <c r="I569" t="s">
        <v>27</v>
      </c>
      <c r="J569" t="s">
        <v>726</v>
      </c>
      <c r="K569">
        <v>29314.14</v>
      </c>
      <c r="L569">
        <v>0.179299973772443</v>
      </c>
      <c r="M569">
        <v>2020</v>
      </c>
      <c r="N569" t="s">
        <v>1182</v>
      </c>
      <c r="O569">
        <v>12</v>
      </c>
      <c r="P569" t="s">
        <v>1217</v>
      </c>
    </row>
    <row r="570" spans="1:16" x14ac:dyDescent="0.3">
      <c r="A570" t="s">
        <v>10</v>
      </c>
      <c r="B570">
        <v>36644.050000000003</v>
      </c>
      <c r="C570">
        <v>30491.51</v>
      </c>
      <c r="D570" s="1">
        <v>44155</v>
      </c>
      <c r="E570" t="s">
        <v>40</v>
      </c>
      <c r="F570" t="s">
        <v>244</v>
      </c>
      <c r="G570" t="s">
        <v>13</v>
      </c>
      <c r="H570" t="s">
        <v>110</v>
      </c>
      <c r="I570" t="s">
        <v>27</v>
      </c>
      <c r="J570" t="s">
        <v>727</v>
      </c>
      <c r="K570">
        <v>6152.54</v>
      </c>
      <c r="L570">
        <v>0.16790010929468799</v>
      </c>
      <c r="M570">
        <v>2020</v>
      </c>
      <c r="N570" t="s">
        <v>1180</v>
      </c>
      <c r="O570">
        <v>11</v>
      </c>
      <c r="P570" t="s">
        <v>1216</v>
      </c>
    </row>
    <row r="571" spans="1:16" x14ac:dyDescent="0.3">
      <c r="A571" t="s">
        <v>10</v>
      </c>
      <c r="B571">
        <v>43158.94</v>
      </c>
      <c r="C571">
        <v>36244.879999999997</v>
      </c>
      <c r="D571" s="1">
        <v>43598</v>
      </c>
      <c r="E571" t="s">
        <v>29</v>
      </c>
      <c r="F571" t="s">
        <v>236</v>
      </c>
      <c r="G571" t="s">
        <v>13</v>
      </c>
      <c r="H571" t="s">
        <v>81</v>
      </c>
      <c r="I571" t="s">
        <v>27</v>
      </c>
      <c r="J571" t="s">
        <v>728</v>
      </c>
      <c r="K571">
        <v>6914.06</v>
      </c>
      <c r="L571">
        <v>0.16019994930366699</v>
      </c>
      <c r="M571">
        <v>2019</v>
      </c>
      <c r="N571" t="s">
        <v>1173</v>
      </c>
      <c r="O571">
        <v>5</v>
      </c>
      <c r="P571" t="s">
        <v>1215</v>
      </c>
    </row>
    <row r="572" spans="1:16" x14ac:dyDescent="0.3">
      <c r="A572" t="s">
        <v>34</v>
      </c>
      <c r="B572">
        <v>227856.66</v>
      </c>
      <c r="C572">
        <v>199010.01</v>
      </c>
      <c r="D572" s="1">
        <v>44032</v>
      </c>
      <c r="E572" t="s">
        <v>29</v>
      </c>
      <c r="F572" t="s">
        <v>214</v>
      </c>
      <c r="G572" t="s">
        <v>36</v>
      </c>
      <c r="H572" t="s">
        <v>93</v>
      </c>
      <c r="I572" t="s">
        <v>27</v>
      </c>
      <c r="J572" t="s">
        <v>729</v>
      </c>
      <c r="K572">
        <v>28846.65</v>
      </c>
      <c r="L572">
        <v>0.12659998614918699</v>
      </c>
      <c r="M572">
        <v>2020</v>
      </c>
      <c r="N572" t="s">
        <v>1174</v>
      </c>
      <c r="O572">
        <v>7</v>
      </c>
      <c r="P572" t="s">
        <v>1214</v>
      </c>
    </row>
    <row r="573" spans="1:16" x14ac:dyDescent="0.3">
      <c r="A573" t="s">
        <v>22</v>
      </c>
      <c r="B573">
        <v>162637.68</v>
      </c>
      <c r="C573">
        <v>130402.89</v>
      </c>
      <c r="D573" s="1">
        <v>43735</v>
      </c>
      <c r="E573" t="s">
        <v>40</v>
      </c>
      <c r="F573" t="s">
        <v>244</v>
      </c>
      <c r="G573" t="s">
        <v>25</v>
      </c>
      <c r="H573" t="s">
        <v>26</v>
      </c>
      <c r="I573" t="s">
        <v>27</v>
      </c>
      <c r="J573" t="s">
        <v>730</v>
      </c>
      <c r="K573">
        <v>32234.79</v>
      </c>
      <c r="L573">
        <v>0.19820001121511299</v>
      </c>
      <c r="M573">
        <v>2019</v>
      </c>
      <c r="N573" t="s">
        <v>1175</v>
      </c>
      <c r="O573">
        <v>9</v>
      </c>
      <c r="P573" t="s">
        <v>1216</v>
      </c>
    </row>
    <row r="574" spans="1:16" x14ac:dyDescent="0.3">
      <c r="A574" t="s">
        <v>34</v>
      </c>
      <c r="B574">
        <v>304337.49</v>
      </c>
      <c r="C574">
        <v>261730.24</v>
      </c>
      <c r="D574" s="1">
        <v>43567</v>
      </c>
      <c r="E574" t="s">
        <v>40</v>
      </c>
      <c r="F574" t="s">
        <v>269</v>
      </c>
      <c r="G574" t="s">
        <v>36</v>
      </c>
      <c r="H574" t="s">
        <v>37</v>
      </c>
      <c r="I574" t="s">
        <v>27</v>
      </c>
      <c r="J574" t="s">
        <v>731</v>
      </c>
      <c r="K574">
        <v>42607.25</v>
      </c>
      <c r="L574">
        <v>0.14000000460015599</v>
      </c>
      <c r="M574">
        <v>2019</v>
      </c>
      <c r="N574" t="s">
        <v>1172</v>
      </c>
      <c r="O574">
        <v>4</v>
      </c>
      <c r="P574" t="s">
        <v>1215</v>
      </c>
    </row>
    <row r="575" spans="1:16" x14ac:dyDescent="0.3">
      <c r="A575" t="s">
        <v>17</v>
      </c>
      <c r="B575">
        <v>63690.720000000001</v>
      </c>
      <c r="C575">
        <v>53455.62</v>
      </c>
      <c r="D575" s="1">
        <v>44070</v>
      </c>
      <c r="E575" t="s">
        <v>29</v>
      </c>
      <c r="F575" t="s">
        <v>24</v>
      </c>
      <c r="G575" t="s">
        <v>19</v>
      </c>
      <c r="H575" t="s">
        <v>31</v>
      </c>
      <c r="I575" t="s">
        <v>32</v>
      </c>
      <c r="J575" t="s">
        <v>732</v>
      </c>
      <c r="K575">
        <v>10235.1</v>
      </c>
      <c r="L575">
        <v>0.160700020348333</v>
      </c>
      <c r="M575">
        <v>2020</v>
      </c>
      <c r="N575" t="s">
        <v>1171</v>
      </c>
      <c r="O575">
        <v>8</v>
      </c>
      <c r="P575" t="s">
        <v>1214</v>
      </c>
    </row>
    <row r="576" spans="1:16" x14ac:dyDescent="0.3">
      <c r="A576" t="s">
        <v>10</v>
      </c>
      <c r="B576">
        <v>43243.45</v>
      </c>
      <c r="C576">
        <v>37764.5</v>
      </c>
      <c r="D576" s="1">
        <v>43601</v>
      </c>
      <c r="E576" t="s">
        <v>40</v>
      </c>
      <c r="F576" t="s">
        <v>56</v>
      </c>
      <c r="G576" t="s">
        <v>13</v>
      </c>
      <c r="H576" t="s">
        <v>46</v>
      </c>
      <c r="I576" t="s">
        <v>27</v>
      </c>
      <c r="J576" t="s">
        <v>733</v>
      </c>
      <c r="K576">
        <v>5478.95</v>
      </c>
      <c r="L576">
        <v>0.12670011296508499</v>
      </c>
      <c r="M576">
        <v>2019</v>
      </c>
      <c r="N576" t="s">
        <v>1173</v>
      </c>
      <c r="O576">
        <v>5</v>
      </c>
      <c r="P576" t="s">
        <v>1215</v>
      </c>
    </row>
    <row r="577" spans="1:16" x14ac:dyDescent="0.3">
      <c r="A577" t="s">
        <v>34</v>
      </c>
      <c r="B577">
        <v>21921.66</v>
      </c>
      <c r="C577">
        <v>18802.21</v>
      </c>
      <c r="D577" s="1">
        <v>43954</v>
      </c>
      <c r="E577" t="s">
        <v>51</v>
      </c>
      <c r="F577" t="s">
        <v>135</v>
      </c>
      <c r="G577" t="s">
        <v>36</v>
      </c>
      <c r="H577" t="s">
        <v>93</v>
      </c>
      <c r="I577" t="s">
        <v>15</v>
      </c>
      <c r="J577" t="s">
        <v>734</v>
      </c>
      <c r="K577">
        <v>3119.45</v>
      </c>
      <c r="L577">
        <v>0.14229989882153099</v>
      </c>
      <c r="M577">
        <v>2020</v>
      </c>
      <c r="N577" t="s">
        <v>1173</v>
      </c>
      <c r="O577">
        <v>5</v>
      </c>
      <c r="P577" t="s">
        <v>1215</v>
      </c>
    </row>
    <row r="578" spans="1:16" x14ac:dyDescent="0.3">
      <c r="A578" t="s">
        <v>10</v>
      </c>
      <c r="B578">
        <v>115151.22</v>
      </c>
      <c r="C578">
        <v>91430.07</v>
      </c>
      <c r="D578" s="1">
        <v>44129</v>
      </c>
      <c r="E578" t="s">
        <v>23</v>
      </c>
      <c r="F578" t="s">
        <v>400</v>
      </c>
      <c r="G578" t="s">
        <v>13</v>
      </c>
      <c r="H578" t="s">
        <v>72</v>
      </c>
      <c r="I578" t="s">
        <v>27</v>
      </c>
      <c r="J578" t="s">
        <v>735</v>
      </c>
      <c r="K578">
        <v>23721.15</v>
      </c>
      <c r="L578">
        <v>0.20599998853681301</v>
      </c>
      <c r="M578">
        <v>2020</v>
      </c>
      <c r="N578" t="s">
        <v>1178</v>
      </c>
      <c r="O578">
        <v>10</v>
      </c>
      <c r="P578" t="s">
        <v>1216</v>
      </c>
    </row>
    <row r="579" spans="1:16" x14ac:dyDescent="0.3">
      <c r="A579" t="s">
        <v>10</v>
      </c>
      <c r="B579">
        <v>69565.47</v>
      </c>
      <c r="C579">
        <v>57808.91</v>
      </c>
      <c r="D579" s="1">
        <v>43974</v>
      </c>
      <c r="E579" t="s">
        <v>76</v>
      </c>
      <c r="F579" t="s">
        <v>56</v>
      </c>
      <c r="G579" t="s">
        <v>13</v>
      </c>
      <c r="H579" t="s">
        <v>81</v>
      </c>
      <c r="I579" t="s">
        <v>27</v>
      </c>
      <c r="J579" t="s">
        <v>736</v>
      </c>
      <c r="K579">
        <v>11756.56</v>
      </c>
      <c r="L579">
        <v>0.168999936318981</v>
      </c>
      <c r="M579">
        <v>2020</v>
      </c>
      <c r="N579" t="s">
        <v>1173</v>
      </c>
      <c r="O579">
        <v>5</v>
      </c>
      <c r="P579" t="s">
        <v>1215</v>
      </c>
    </row>
    <row r="580" spans="1:16" x14ac:dyDescent="0.3">
      <c r="A580" t="s">
        <v>143</v>
      </c>
      <c r="B580">
        <v>42028.45</v>
      </c>
      <c r="C580">
        <v>36299.97</v>
      </c>
      <c r="D580" s="1">
        <v>43833</v>
      </c>
      <c r="E580" t="s">
        <v>99</v>
      </c>
      <c r="F580" t="s">
        <v>106</v>
      </c>
      <c r="G580" t="s">
        <v>145</v>
      </c>
      <c r="H580" t="s">
        <v>146</v>
      </c>
      <c r="I580" t="s">
        <v>27</v>
      </c>
      <c r="J580" t="s">
        <v>737</v>
      </c>
      <c r="K580">
        <v>5728.48</v>
      </c>
      <c r="L580">
        <v>0.13630005389206601</v>
      </c>
      <c r="M580">
        <v>2020</v>
      </c>
      <c r="N580" t="s">
        <v>1177</v>
      </c>
      <c r="O580">
        <v>1</v>
      </c>
      <c r="P580" t="s">
        <v>1217</v>
      </c>
    </row>
    <row r="581" spans="1:16" x14ac:dyDescent="0.3">
      <c r="A581" t="s">
        <v>22</v>
      </c>
      <c r="B581">
        <v>78461.13</v>
      </c>
      <c r="C581">
        <v>63537.82</v>
      </c>
      <c r="D581" s="1">
        <v>44109</v>
      </c>
      <c r="E581" t="s">
        <v>23</v>
      </c>
      <c r="F581" t="s">
        <v>106</v>
      </c>
      <c r="G581" t="s">
        <v>25</v>
      </c>
      <c r="H581" t="s">
        <v>167</v>
      </c>
      <c r="I581" t="s">
        <v>32</v>
      </c>
      <c r="J581" t="s">
        <v>738</v>
      </c>
      <c r="K581">
        <v>14923.31</v>
      </c>
      <c r="L581">
        <v>0.19020003917863501</v>
      </c>
      <c r="M581">
        <v>2020</v>
      </c>
      <c r="N581" t="s">
        <v>1178</v>
      </c>
      <c r="O581">
        <v>10</v>
      </c>
      <c r="P581" t="s">
        <v>1216</v>
      </c>
    </row>
    <row r="582" spans="1:16" x14ac:dyDescent="0.3">
      <c r="A582" t="s">
        <v>17</v>
      </c>
      <c r="B582">
        <v>197471.1</v>
      </c>
      <c r="C582">
        <v>162577.96</v>
      </c>
      <c r="D582" s="1">
        <v>43644</v>
      </c>
      <c r="E582" t="s">
        <v>23</v>
      </c>
      <c r="F582" t="s">
        <v>56</v>
      </c>
      <c r="G582" t="s">
        <v>19</v>
      </c>
      <c r="H582" t="s">
        <v>31</v>
      </c>
      <c r="I582" t="s">
        <v>27</v>
      </c>
      <c r="J582" t="s">
        <v>739</v>
      </c>
      <c r="K582">
        <v>34893.14</v>
      </c>
      <c r="L582">
        <v>0.17669998293421199</v>
      </c>
      <c r="M582">
        <v>2019</v>
      </c>
      <c r="N582" t="s">
        <v>1179</v>
      </c>
      <c r="O582">
        <v>6</v>
      </c>
      <c r="P582" t="s">
        <v>1214</v>
      </c>
    </row>
    <row r="583" spans="1:16" x14ac:dyDescent="0.3">
      <c r="A583" t="s">
        <v>22</v>
      </c>
      <c r="B583">
        <v>119937.47</v>
      </c>
      <c r="C583">
        <v>98720.53</v>
      </c>
      <c r="D583" s="1">
        <v>43690</v>
      </c>
      <c r="E583" t="s">
        <v>11</v>
      </c>
      <c r="F583" t="s">
        <v>302</v>
      </c>
      <c r="G583" t="s">
        <v>25</v>
      </c>
      <c r="H583" t="s">
        <v>52</v>
      </c>
      <c r="I583" t="s">
        <v>27</v>
      </c>
      <c r="J583" t="s">
        <v>740</v>
      </c>
      <c r="K583">
        <v>21216.94</v>
      </c>
      <c r="L583">
        <v>0.176900012981765</v>
      </c>
      <c r="M583">
        <v>2019</v>
      </c>
      <c r="N583" t="s">
        <v>1171</v>
      </c>
      <c r="O583">
        <v>8</v>
      </c>
      <c r="P583" t="s">
        <v>1214</v>
      </c>
    </row>
    <row r="584" spans="1:16" x14ac:dyDescent="0.3">
      <c r="A584" t="s">
        <v>10</v>
      </c>
      <c r="B584">
        <v>106076.67</v>
      </c>
      <c r="C584">
        <v>84765.87</v>
      </c>
      <c r="D584" s="1">
        <v>43748</v>
      </c>
      <c r="E584" t="s">
        <v>29</v>
      </c>
      <c r="F584" t="s">
        <v>164</v>
      </c>
      <c r="G584" t="s">
        <v>13</v>
      </c>
      <c r="H584" t="s">
        <v>72</v>
      </c>
      <c r="I584" t="s">
        <v>32</v>
      </c>
      <c r="J584" t="s">
        <v>741</v>
      </c>
      <c r="K584">
        <v>21310.799999999999</v>
      </c>
      <c r="L584">
        <v>0.200899971690288</v>
      </c>
      <c r="M584">
        <v>2019</v>
      </c>
      <c r="N584" t="s">
        <v>1178</v>
      </c>
      <c r="O584">
        <v>10</v>
      </c>
      <c r="P584" t="s">
        <v>1216</v>
      </c>
    </row>
    <row r="585" spans="1:16" x14ac:dyDescent="0.3">
      <c r="A585" t="s">
        <v>17</v>
      </c>
      <c r="B585">
        <v>75522.66</v>
      </c>
      <c r="C585">
        <v>60448.34</v>
      </c>
      <c r="D585" s="1">
        <v>43537</v>
      </c>
      <c r="E585" t="s">
        <v>51</v>
      </c>
      <c r="F585" t="s">
        <v>229</v>
      </c>
      <c r="G585" t="s">
        <v>19</v>
      </c>
      <c r="H585" t="s">
        <v>31</v>
      </c>
      <c r="I585" t="s">
        <v>27</v>
      </c>
      <c r="J585" t="s">
        <v>742</v>
      </c>
      <c r="K585">
        <v>15074.32</v>
      </c>
      <c r="L585">
        <v>0.19959996112425099</v>
      </c>
      <c r="M585">
        <v>2019</v>
      </c>
      <c r="N585" t="s">
        <v>1176</v>
      </c>
      <c r="O585">
        <v>3</v>
      </c>
      <c r="P585" t="s">
        <v>1215</v>
      </c>
    </row>
    <row r="586" spans="1:16" x14ac:dyDescent="0.3">
      <c r="A586" t="s">
        <v>34</v>
      </c>
      <c r="B586">
        <v>119769.22</v>
      </c>
      <c r="C586">
        <v>98234.71</v>
      </c>
      <c r="D586" s="1">
        <v>44136</v>
      </c>
      <c r="E586" t="s">
        <v>91</v>
      </c>
      <c r="F586" t="s">
        <v>144</v>
      </c>
      <c r="G586" t="s">
        <v>36</v>
      </c>
      <c r="H586" t="s">
        <v>93</v>
      </c>
      <c r="I586" t="s">
        <v>27</v>
      </c>
      <c r="J586" t="s">
        <v>743</v>
      </c>
      <c r="K586">
        <v>21534.51</v>
      </c>
      <c r="L586">
        <v>0.17980003543481399</v>
      </c>
      <c r="M586">
        <v>2020</v>
      </c>
      <c r="N586" t="s">
        <v>1180</v>
      </c>
      <c r="O586">
        <v>11</v>
      </c>
      <c r="P586" t="s">
        <v>1216</v>
      </c>
    </row>
    <row r="587" spans="1:16" x14ac:dyDescent="0.3">
      <c r="A587" t="s">
        <v>17</v>
      </c>
      <c r="B587">
        <v>168197.78</v>
      </c>
      <c r="C587">
        <v>144246.42000000001</v>
      </c>
      <c r="D587" s="1">
        <v>43478</v>
      </c>
      <c r="E587" t="s">
        <v>51</v>
      </c>
      <c r="F587" t="s">
        <v>80</v>
      </c>
      <c r="G587" t="s">
        <v>19</v>
      </c>
      <c r="H587" t="s">
        <v>31</v>
      </c>
      <c r="I587" t="s">
        <v>27</v>
      </c>
      <c r="J587" t="s">
        <v>744</v>
      </c>
      <c r="K587">
        <v>23951.360000000001</v>
      </c>
      <c r="L587">
        <v>0.14239997697948201</v>
      </c>
      <c r="M587">
        <v>2019</v>
      </c>
      <c r="N587" t="s">
        <v>1177</v>
      </c>
      <c r="O587">
        <v>1</v>
      </c>
      <c r="P587" t="s">
        <v>1217</v>
      </c>
    </row>
    <row r="588" spans="1:16" x14ac:dyDescent="0.3">
      <c r="A588" t="s">
        <v>17</v>
      </c>
      <c r="B588">
        <v>68773.03</v>
      </c>
      <c r="C588">
        <v>59082.91</v>
      </c>
      <c r="D588" s="1">
        <v>43738</v>
      </c>
      <c r="E588" t="s">
        <v>11</v>
      </c>
      <c r="F588" t="s">
        <v>106</v>
      </c>
      <c r="G588" t="s">
        <v>19</v>
      </c>
      <c r="H588" t="s">
        <v>20</v>
      </c>
      <c r="I588" t="s">
        <v>27</v>
      </c>
      <c r="J588" t="s">
        <v>745</v>
      </c>
      <c r="K588">
        <v>9690.1200000000008</v>
      </c>
      <c r="L588">
        <v>0.140900001061463</v>
      </c>
      <c r="M588">
        <v>2019</v>
      </c>
      <c r="N588" t="s">
        <v>1175</v>
      </c>
      <c r="O588">
        <v>9</v>
      </c>
      <c r="P588" t="s">
        <v>1216</v>
      </c>
    </row>
    <row r="589" spans="1:16" x14ac:dyDescent="0.3">
      <c r="A589" t="s">
        <v>10</v>
      </c>
      <c r="B589">
        <v>62272.959999999999</v>
      </c>
      <c r="C589">
        <v>54600.93</v>
      </c>
      <c r="D589" s="1">
        <v>43516</v>
      </c>
      <c r="E589" t="s">
        <v>76</v>
      </c>
      <c r="F589" t="s">
        <v>164</v>
      </c>
      <c r="G589" t="s">
        <v>13</v>
      </c>
      <c r="H589" t="s">
        <v>110</v>
      </c>
      <c r="I589" t="s">
        <v>27</v>
      </c>
      <c r="J589" t="s">
        <v>746</v>
      </c>
      <c r="K589">
        <v>7672.03</v>
      </c>
      <c r="L589">
        <v>0.12320002132546801</v>
      </c>
      <c r="M589">
        <v>2019</v>
      </c>
      <c r="N589" t="s">
        <v>1181</v>
      </c>
      <c r="O589">
        <v>2</v>
      </c>
      <c r="P589" t="s">
        <v>1217</v>
      </c>
    </row>
    <row r="590" spans="1:16" x14ac:dyDescent="0.3">
      <c r="A590" t="s">
        <v>17</v>
      </c>
      <c r="B590">
        <v>165118.74</v>
      </c>
      <c r="C590">
        <v>137527.4</v>
      </c>
      <c r="D590" s="1">
        <v>43507</v>
      </c>
      <c r="E590" t="s">
        <v>40</v>
      </c>
      <c r="F590" t="s">
        <v>195</v>
      </c>
      <c r="G590" t="s">
        <v>19</v>
      </c>
      <c r="H590" t="s">
        <v>20</v>
      </c>
      <c r="I590" t="s">
        <v>27</v>
      </c>
      <c r="J590" t="s">
        <v>747</v>
      </c>
      <c r="K590">
        <v>27591.34</v>
      </c>
      <c r="L590">
        <v>0.16709999119421601</v>
      </c>
      <c r="M590">
        <v>2019</v>
      </c>
      <c r="N590" t="s">
        <v>1181</v>
      </c>
      <c r="O590">
        <v>2</v>
      </c>
      <c r="P590" t="s">
        <v>1217</v>
      </c>
    </row>
    <row r="591" spans="1:16" x14ac:dyDescent="0.3">
      <c r="A591" t="s">
        <v>22</v>
      </c>
      <c r="B591">
        <v>122035.93</v>
      </c>
      <c r="C591">
        <v>97897.22</v>
      </c>
      <c r="D591" s="1">
        <v>44003</v>
      </c>
      <c r="E591" t="s">
        <v>55</v>
      </c>
      <c r="F591" t="s">
        <v>244</v>
      </c>
      <c r="G591" t="s">
        <v>25</v>
      </c>
      <c r="H591" t="s">
        <v>52</v>
      </c>
      <c r="I591" t="s">
        <v>27</v>
      </c>
      <c r="J591" t="s">
        <v>748</v>
      </c>
      <c r="K591">
        <v>24138.71</v>
      </c>
      <c r="L591">
        <v>0.19780002495986199</v>
      </c>
      <c r="M591">
        <v>2020</v>
      </c>
      <c r="N591" t="s">
        <v>1179</v>
      </c>
      <c r="O591">
        <v>6</v>
      </c>
      <c r="P591" t="s">
        <v>1214</v>
      </c>
    </row>
    <row r="592" spans="1:16" x14ac:dyDescent="0.3">
      <c r="A592" t="s">
        <v>10</v>
      </c>
      <c r="B592">
        <v>117733.51</v>
      </c>
      <c r="C592">
        <v>97294.97</v>
      </c>
      <c r="D592" s="1">
        <v>43659</v>
      </c>
      <c r="E592" t="s">
        <v>29</v>
      </c>
      <c r="F592" t="s">
        <v>48</v>
      </c>
      <c r="G592" t="s">
        <v>13</v>
      </c>
      <c r="H592" t="s">
        <v>14</v>
      </c>
      <c r="I592" t="s">
        <v>27</v>
      </c>
      <c r="J592" t="s">
        <v>749</v>
      </c>
      <c r="K592">
        <v>20438.54</v>
      </c>
      <c r="L592">
        <v>0.17360002262737301</v>
      </c>
      <c r="M592">
        <v>2019</v>
      </c>
      <c r="N592" t="s">
        <v>1174</v>
      </c>
      <c r="O592">
        <v>7</v>
      </c>
      <c r="P592" t="s">
        <v>1214</v>
      </c>
    </row>
    <row r="593" spans="1:16" x14ac:dyDescent="0.3">
      <c r="A593" t="s">
        <v>10</v>
      </c>
      <c r="B593">
        <v>240759.07</v>
      </c>
      <c r="C593">
        <v>205415.64</v>
      </c>
      <c r="D593" s="1">
        <v>43996</v>
      </c>
      <c r="E593" t="s">
        <v>23</v>
      </c>
      <c r="F593" t="s">
        <v>308</v>
      </c>
      <c r="G593" t="s">
        <v>13</v>
      </c>
      <c r="H593" t="s">
        <v>14</v>
      </c>
      <c r="I593" t="s">
        <v>27</v>
      </c>
      <c r="J593" t="s">
        <v>750</v>
      </c>
      <c r="K593">
        <v>35343.43</v>
      </c>
      <c r="L593">
        <v>0.14679999386938999</v>
      </c>
      <c r="M593">
        <v>2020</v>
      </c>
      <c r="N593" t="s">
        <v>1179</v>
      </c>
      <c r="O593">
        <v>6</v>
      </c>
      <c r="P593" t="s">
        <v>1214</v>
      </c>
    </row>
    <row r="594" spans="1:16" x14ac:dyDescent="0.3">
      <c r="A594" t="s">
        <v>22</v>
      </c>
      <c r="B594">
        <v>147895.45000000001</v>
      </c>
      <c r="C594">
        <v>120416.48</v>
      </c>
      <c r="D594" s="1">
        <v>43472</v>
      </c>
      <c r="E594" t="s">
        <v>40</v>
      </c>
      <c r="F594" t="s">
        <v>18</v>
      </c>
      <c r="G594" t="s">
        <v>25</v>
      </c>
      <c r="H594" t="s">
        <v>63</v>
      </c>
      <c r="I594" t="s">
        <v>32</v>
      </c>
      <c r="J594" t="s">
        <v>751</v>
      </c>
      <c r="K594">
        <v>27478.97</v>
      </c>
      <c r="L594">
        <v>0.185799968829332</v>
      </c>
      <c r="M594">
        <v>2019</v>
      </c>
      <c r="N594" t="s">
        <v>1177</v>
      </c>
      <c r="O594">
        <v>1</v>
      </c>
      <c r="P594" t="s">
        <v>1217</v>
      </c>
    </row>
    <row r="595" spans="1:16" x14ac:dyDescent="0.3">
      <c r="A595" t="s">
        <v>10</v>
      </c>
      <c r="B595">
        <v>205059.8</v>
      </c>
      <c r="C595">
        <v>173029.46</v>
      </c>
      <c r="D595" s="1">
        <v>44005</v>
      </c>
      <c r="E595" t="s">
        <v>29</v>
      </c>
      <c r="F595" t="s">
        <v>225</v>
      </c>
      <c r="G595" t="s">
        <v>13</v>
      </c>
      <c r="H595" t="s">
        <v>110</v>
      </c>
      <c r="I595" t="s">
        <v>27</v>
      </c>
      <c r="J595" t="s">
        <v>752</v>
      </c>
      <c r="K595">
        <v>32030.34</v>
      </c>
      <c r="L595">
        <v>0.15619999629376399</v>
      </c>
      <c r="M595">
        <v>2020</v>
      </c>
      <c r="N595" t="s">
        <v>1179</v>
      </c>
      <c r="O595">
        <v>6</v>
      </c>
      <c r="P595" t="s">
        <v>1214</v>
      </c>
    </row>
    <row r="596" spans="1:16" x14ac:dyDescent="0.3">
      <c r="A596" t="s">
        <v>122</v>
      </c>
      <c r="B596">
        <v>81482.69</v>
      </c>
      <c r="C596">
        <v>64721.7</v>
      </c>
      <c r="D596" s="1">
        <v>43710</v>
      </c>
      <c r="E596" t="s">
        <v>29</v>
      </c>
      <c r="F596" t="s">
        <v>56</v>
      </c>
      <c r="G596" t="s">
        <v>123</v>
      </c>
      <c r="H596" t="s">
        <v>254</v>
      </c>
      <c r="I596" t="s">
        <v>27</v>
      </c>
      <c r="J596" t="s">
        <v>753</v>
      </c>
      <c r="K596">
        <v>16760.990000000002</v>
      </c>
      <c r="L596">
        <v>0.20570000818578801</v>
      </c>
      <c r="M596">
        <v>2019</v>
      </c>
      <c r="N596" t="s">
        <v>1175</v>
      </c>
      <c r="O596">
        <v>9</v>
      </c>
      <c r="P596" t="s">
        <v>1216</v>
      </c>
    </row>
    <row r="597" spans="1:16" x14ac:dyDescent="0.3">
      <c r="A597" t="s">
        <v>17</v>
      </c>
      <c r="B597">
        <v>168226.52</v>
      </c>
      <c r="C597">
        <v>136818.63</v>
      </c>
      <c r="D597" s="1">
        <v>43855</v>
      </c>
      <c r="E597" t="s">
        <v>51</v>
      </c>
      <c r="F597" t="s">
        <v>97</v>
      </c>
      <c r="G597" t="s">
        <v>19</v>
      </c>
      <c r="H597" t="s">
        <v>49</v>
      </c>
      <c r="I597" t="s">
        <v>27</v>
      </c>
      <c r="J597" t="s">
        <v>754</v>
      </c>
      <c r="K597">
        <v>31407.89</v>
      </c>
      <c r="L597">
        <v>0.18669999236743401</v>
      </c>
      <c r="M597">
        <v>2020</v>
      </c>
      <c r="N597" t="s">
        <v>1177</v>
      </c>
      <c r="O597">
        <v>1</v>
      </c>
      <c r="P597" t="s">
        <v>1217</v>
      </c>
    </row>
    <row r="598" spans="1:16" x14ac:dyDescent="0.3">
      <c r="A598" t="s">
        <v>22</v>
      </c>
      <c r="B598">
        <v>201573.23</v>
      </c>
      <c r="C598">
        <v>166116.5</v>
      </c>
      <c r="D598" s="1">
        <v>43597</v>
      </c>
      <c r="E598" t="s">
        <v>11</v>
      </c>
      <c r="F598" t="s">
        <v>755</v>
      </c>
      <c r="G598" t="s">
        <v>25</v>
      </c>
      <c r="H598" t="s">
        <v>26</v>
      </c>
      <c r="I598" t="s">
        <v>32</v>
      </c>
      <c r="J598" t="s">
        <v>756</v>
      </c>
      <c r="K598">
        <v>35456.730000000003</v>
      </c>
      <c r="L598">
        <v>0.17589999426015099</v>
      </c>
      <c r="M598">
        <v>2019</v>
      </c>
      <c r="N598" t="s">
        <v>1173</v>
      </c>
      <c r="O598">
        <v>5</v>
      </c>
      <c r="P598" t="s">
        <v>1215</v>
      </c>
    </row>
    <row r="599" spans="1:16" x14ac:dyDescent="0.3">
      <c r="A599" t="s">
        <v>22</v>
      </c>
      <c r="B599">
        <v>172989.17</v>
      </c>
      <c r="C599">
        <v>142975.54999999999</v>
      </c>
      <c r="D599" s="1">
        <v>44110</v>
      </c>
      <c r="E599" t="s">
        <v>76</v>
      </c>
      <c r="F599" t="s">
        <v>45</v>
      </c>
      <c r="G599" t="s">
        <v>25</v>
      </c>
      <c r="H599" t="s">
        <v>63</v>
      </c>
      <c r="I599" t="s">
        <v>27</v>
      </c>
      <c r="J599" t="s">
        <v>757</v>
      </c>
      <c r="K599">
        <v>30013.62</v>
      </c>
      <c r="L599">
        <v>0.17349999424819501</v>
      </c>
      <c r="M599">
        <v>2020</v>
      </c>
      <c r="N599" t="s">
        <v>1178</v>
      </c>
      <c r="O599">
        <v>10</v>
      </c>
      <c r="P599" t="s">
        <v>1216</v>
      </c>
    </row>
    <row r="600" spans="1:16" x14ac:dyDescent="0.3">
      <c r="A600" t="s">
        <v>22</v>
      </c>
      <c r="B600">
        <v>158240.24</v>
      </c>
      <c r="C600">
        <v>136561.32999999999</v>
      </c>
      <c r="D600" s="1">
        <v>44158</v>
      </c>
      <c r="E600" t="s">
        <v>91</v>
      </c>
      <c r="F600" t="s">
        <v>106</v>
      </c>
      <c r="G600" t="s">
        <v>25</v>
      </c>
      <c r="H600" t="s">
        <v>87</v>
      </c>
      <c r="I600" t="s">
        <v>27</v>
      </c>
      <c r="J600" t="s">
        <v>758</v>
      </c>
      <c r="K600">
        <v>21678.91</v>
      </c>
      <c r="L600">
        <v>0.136999981799825</v>
      </c>
      <c r="M600">
        <v>2020</v>
      </c>
      <c r="N600" t="s">
        <v>1180</v>
      </c>
      <c r="O600">
        <v>11</v>
      </c>
      <c r="P600" t="s">
        <v>1216</v>
      </c>
    </row>
    <row r="601" spans="1:16" x14ac:dyDescent="0.3">
      <c r="A601" t="s">
        <v>17</v>
      </c>
      <c r="B601">
        <v>173478.65</v>
      </c>
      <c r="C601">
        <v>139650.31</v>
      </c>
      <c r="D601" s="1">
        <v>43494</v>
      </c>
      <c r="E601" t="s">
        <v>91</v>
      </c>
      <c r="F601" t="s">
        <v>56</v>
      </c>
      <c r="G601" t="s">
        <v>19</v>
      </c>
      <c r="H601" t="s">
        <v>49</v>
      </c>
      <c r="I601" t="s">
        <v>27</v>
      </c>
      <c r="J601" t="s">
        <v>759</v>
      </c>
      <c r="K601">
        <v>33828.339999999997</v>
      </c>
      <c r="L601">
        <v>0.19500001873429401</v>
      </c>
      <c r="M601">
        <v>2019</v>
      </c>
      <c r="N601" t="s">
        <v>1177</v>
      </c>
      <c r="O601">
        <v>1</v>
      </c>
      <c r="P601" t="s">
        <v>1217</v>
      </c>
    </row>
    <row r="602" spans="1:16" x14ac:dyDescent="0.3">
      <c r="A602" t="s">
        <v>122</v>
      </c>
      <c r="B602">
        <v>174271.91</v>
      </c>
      <c r="C602">
        <v>142083.89000000001</v>
      </c>
      <c r="D602" s="1">
        <v>43605</v>
      </c>
      <c r="E602" t="s">
        <v>40</v>
      </c>
      <c r="F602" t="s">
        <v>106</v>
      </c>
      <c r="G602" t="s">
        <v>123</v>
      </c>
      <c r="H602" t="s">
        <v>254</v>
      </c>
      <c r="I602" t="s">
        <v>27</v>
      </c>
      <c r="J602" t="s">
        <v>760</v>
      </c>
      <c r="K602">
        <v>32188.02</v>
      </c>
      <c r="L602">
        <v>0.184699989803291</v>
      </c>
      <c r="M602">
        <v>2019</v>
      </c>
      <c r="N602" t="s">
        <v>1173</v>
      </c>
      <c r="O602">
        <v>5</v>
      </c>
      <c r="P602" t="s">
        <v>1215</v>
      </c>
    </row>
    <row r="603" spans="1:16" x14ac:dyDescent="0.3">
      <c r="A603" t="s">
        <v>151</v>
      </c>
      <c r="B603">
        <v>55539.67</v>
      </c>
      <c r="C603">
        <v>45620.29</v>
      </c>
      <c r="D603" s="1">
        <v>43911</v>
      </c>
      <c r="E603" t="s">
        <v>29</v>
      </c>
      <c r="F603" t="s">
        <v>97</v>
      </c>
      <c r="G603" t="s">
        <v>152</v>
      </c>
      <c r="H603" t="s">
        <v>153</v>
      </c>
      <c r="I603" t="s">
        <v>27</v>
      </c>
      <c r="J603" t="s">
        <v>761</v>
      </c>
      <c r="K603">
        <v>9919.3799999999992</v>
      </c>
      <c r="L603">
        <v>0.178599908857939</v>
      </c>
      <c r="M603">
        <v>2020</v>
      </c>
      <c r="N603" t="s">
        <v>1176</v>
      </c>
      <c r="O603">
        <v>3</v>
      </c>
      <c r="P603" t="s">
        <v>1215</v>
      </c>
    </row>
    <row r="604" spans="1:16" x14ac:dyDescent="0.3">
      <c r="A604" t="s">
        <v>22</v>
      </c>
      <c r="B604">
        <v>57120.58</v>
      </c>
      <c r="C604">
        <v>94375.688899999994</v>
      </c>
      <c r="D604" s="1">
        <v>43794</v>
      </c>
      <c r="E604" t="s">
        <v>11</v>
      </c>
      <c r="F604" t="s">
        <v>227</v>
      </c>
      <c r="G604" t="s">
        <v>25</v>
      </c>
      <c r="H604" t="s">
        <v>52</v>
      </c>
      <c r="I604" t="s">
        <v>27</v>
      </c>
      <c r="J604" t="s">
        <v>762</v>
      </c>
      <c r="K604">
        <v>-37255.108899999999</v>
      </c>
      <c r="L604">
        <v>-0.65221867319974702</v>
      </c>
      <c r="M604">
        <v>2019</v>
      </c>
      <c r="N604" t="s">
        <v>1180</v>
      </c>
      <c r="O604">
        <v>11</v>
      </c>
      <c r="P604" t="s">
        <v>1216</v>
      </c>
    </row>
    <row r="605" spans="1:16" x14ac:dyDescent="0.3">
      <c r="A605" t="s">
        <v>10</v>
      </c>
      <c r="B605">
        <v>36749.51</v>
      </c>
      <c r="C605">
        <v>30101.52</v>
      </c>
      <c r="D605" s="1">
        <v>44119</v>
      </c>
      <c r="E605" t="s">
        <v>11</v>
      </c>
      <c r="F605" t="s">
        <v>256</v>
      </c>
      <c r="G605" t="s">
        <v>13</v>
      </c>
      <c r="H605" t="s">
        <v>72</v>
      </c>
      <c r="I605" t="s">
        <v>27</v>
      </c>
      <c r="J605" t="s">
        <v>763</v>
      </c>
      <c r="K605">
        <v>6647.99</v>
      </c>
      <c r="L605">
        <v>0.18090009907615101</v>
      </c>
      <c r="M605">
        <v>2020</v>
      </c>
      <c r="N605" t="s">
        <v>1178</v>
      </c>
      <c r="O605">
        <v>10</v>
      </c>
      <c r="P605" t="s">
        <v>1216</v>
      </c>
    </row>
    <row r="606" spans="1:16" x14ac:dyDescent="0.3">
      <c r="A606" t="s">
        <v>34</v>
      </c>
      <c r="B606">
        <v>19949.11</v>
      </c>
      <c r="C606">
        <v>16364.25</v>
      </c>
      <c r="D606" s="1">
        <v>43521</v>
      </c>
      <c r="E606" t="s">
        <v>76</v>
      </c>
      <c r="F606" t="s">
        <v>195</v>
      </c>
      <c r="G606" t="s">
        <v>36</v>
      </c>
      <c r="H606" t="s">
        <v>104</v>
      </c>
      <c r="I606" t="s">
        <v>15</v>
      </c>
      <c r="J606" t="s">
        <v>764</v>
      </c>
      <c r="K606">
        <v>3584.86</v>
      </c>
      <c r="L606">
        <v>0.179700247279202</v>
      </c>
      <c r="M606">
        <v>2019</v>
      </c>
      <c r="N606" t="s">
        <v>1181</v>
      </c>
      <c r="O606">
        <v>2</v>
      </c>
      <c r="P606" t="s">
        <v>1217</v>
      </c>
    </row>
    <row r="607" spans="1:16" x14ac:dyDescent="0.3">
      <c r="A607" t="s">
        <v>17</v>
      </c>
      <c r="B607">
        <v>105522.72</v>
      </c>
      <c r="C607">
        <v>86581.39</v>
      </c>
      <c r="D607" s="1">
        <v>43512</v>
      </c>
      <c r="E607" t="s">
        <v>40</v>
      </c>
      <c r="F607" t="s">
        <v>335</v>
      </c>
      <c r="G607" t="s">
        <v>19</v>
      </c>
      <c r="H607" t="s">
        <v>20</v>
      </c>
      <c r="I607" t="s">
        <v>27</v>
      </c>
      <c r="J607" t="s">
        <v>765</v>
      </c>
      <c r="K607">
        <v>18941.330000000002</v>
      </c>
      <c r="L607">
        <v>0.179500016678873</v>
      </c>
      <c r="M607">
        <v>2019</v>
      </c>
      <c r="N607" t="s">
        <v>1181</v>
      </c>
      <c r="O607">
        <v>2</v>
      </c>
      <c r="P607" t="s">
        <v>1217</v>
      </c>
    </row>
    <row r="608" spans="1:16" x14ac:dyDescent="0.3">
      <c r="A608" t="s">
        <v>22</v>
      </c>
      <c r="B608">
        <v>131018.65</v>
      </c>
      <c r="C608">
        <v>107920.06</v>
      </c>
      <c r="D608" s="1">
        <v>43865</v>
      </c>
      <c r="E608" t="s">
        <v>40</v>
      </c>
      <c r="F608" t="s">
        <v>434</v>
      </c>
      <c r="G608" t="s">
        <v>25</v>
      </c>
      <c r="H608" t="s">
        <v>87</v>
      </c>
      <c r="I608" t="s">
        <v>27</v>
      </c>
      <c r="J608" t="s">
        <v>766</v>
      </c>
      <c r="K608">
        <v>23098.59</v>
      </c>
      <c r="L608">
        <v>0.176300015303165</v>
      </c>
      <c r="M608">
        <v>2020</v>
      </c>
      <c r="N608" t="s">
        <v>1181</v>
      </c>
      <c r="O608">
        <v>2</v>
      </c>
      <c r="P608" t="s">
        <v>1217</v>
      </c>
    </row>
    <row r="609" spans="1:16" x14ac:dyDescent="0.3">
      <c r="A609" t="s">
        <v>17</v>
      </c>
      <c r="B609">
        <v>56705.66</v>
      </c>
      <c r="C609">
        <v>46986.31</v>
      </c>
      <c r="D609" s="1">
        <v>43467</v>
      </c>
      <c r="E609" t="s">
        <v>181</v>
      </c>
      <c r="F609" t="s">
        <v>56</v>
      </c>
      <c r="G609" t="s">
        <v>19</v>
      </c>
      <c r="H609" t="s">
        <v>31</v>
      </c>
      <c r="I609" t="s">
        <v>27</v>
      </c>
      <c r="J609" t="s">
        <v>767</v>
      </c>
      <c r="K609">
        <v>9719.35</v>
      </c>
      <c r="L609">
        <v>0.17139999781326901</v>
      </c>
      <c r="M609">
        <v>2019</v>
      </c>
      <c r="N609" t="s">
        <v>1177</v>
      </c>
      <c r="O609">
        <v>1</v>
      </c>
      <c r="P609" t="s">
        <v>1217</v>
      </c>
    </row>
    <row r="610" spans="1:16" x14ac:dyDescent="0.3">
      <c r="A610" t="s">
        <v>22</v>
      </c>
      <c r="B610">
        <v>148212.23000000001</v>
      </c>
      <c r="C610">
        <v>123030.97</v>
      </c>
      <c r="D610" s="1">
        <v>43747</v>
      </c>
      <c r="E610" t="s">
        <v>40</v>
      </c>
      <c r="F610" t="s">
        <v>229</v>
      </c>
      <c r="G610" t="s">
        <v>25</v>
      </c>
      <c r="H610" t="s">
        <v>87</v>
      </c>
      <c r="I610" t="s">
        <v>27</v>
      </c>
      <c r="J610" t="s">
        <v>768</v>
      </c>
      <c r="K610">
        <v>25181.26</v>
      </c>
      <c r="L610">
        <v>0.16990001432405399</v>
      </c>
      <c r="M610">
        <v>2019</v>
      </c>
      <c r="N610" t="s">
        <v>1178</v>
      </c>
      <c r="O610">
        <v>10</v>
      </c>
      <c r="P610" t="s">
        <v>1216</v>
      </c>
    </row>
    <row r="611" spans="1:16" x14ac:dyDescent="0.3">
      <c r="A611" t="s">
        <v>17</v>
      </c>
      <c r="B611">
        <v>138175.53</v>
      </c>
      <c r="C611">
        <v>116744.51</v>
      </c>
      <c r="D611" s="1">
        <v>43901</v>
      </c>
      <c r="E611" t="s">
        <v>99</v>
      </c>
      <c r="F611" t="s">
        <v>102</v>
      </c>
      <c r="G611" t="s">
        <v>19</v>
      </c>
      <c r="H611" t="s">
        <v>157</v>
      </c>
      <c r="I611" t="s">
        <v>27</v>
      </c>
      <c r="J611" t="s">
        <v>769</v>
      </c>
      <c r="K611">
        <v>21431.02</v>
      </c>
      <c r="L611">
        <v>0.155099965963583</v>
      </c>
      <c r="M611">
        <v>2020</v>
      </c>
      <c r="N611" t="s">
        <v>1176</v>
      </c>
      <c r="O611">
        <v>3</v>
      </c>
      <c r="P611" t="s">
        <v>1215</v>
      </c>
    </row>
    <row r="612" spans="1:16" x14ac:dyDescent="0.3">
      <c r="A612" t="s">
        <v>151</v>
      </c>
      <c r="B612">
        <v>135424.06</v>
      </c>
      <c r="C612">
        <v>116275.1</v>
      </c>
      <c r="D612" s="1">
        <v>43845</v>
      </c>
      <c r="E612" t="s">
        <v>29</v>
      </c>
      <c r="F612" t="s">
        <v>71</v>
      </c>
      <c r="G612" t="s">
        <v>152</v>
      </c>
      <c r="H612" t="s">
        <v>153</v>
      </c>
      <c r="I612" t="s">
        <v>27</v>
      </c>
      <c r="J612" t="s">
        <v>770</v>
      </c>
      <c r="K612">
        <v>19148.96</v>
      </c>
      <c r="L612">
        <v>0.14139998461130199</v>
      </c>
      <c r="M612">
        <v>2020</v>
      </c>
      <c r="N612" t="s">
        <v>1177</v>
      </c>
      <c r="O612">
        <v>1</v>
      </c>
      <c r="P612" t="s">
        <v>1217</v>
      </c>
    </row>
    <row r="613" spans="1:16" x14ac:dyDescent="0.3">
      <c r="A613" t="s">
        <v>151</v>
      </c>
      <c r="B613">
        <v>58921.31</v>
      </c>
      <c r="C613">
        <v>51715.23</v>
      </c>
      <c r="D613" s="1">
        <v>44178</v>
      </c>
      <c r="E613" t="s">
        <v>11</v>
      </c>
      <c r="F613" t="s">
        <v>56</v>
      </c>
      <c r="G613" t="s">
        <v>152</v>
      </c>
      <c r="H613" t="s">
        <v>197</v>
      </c>
      <c r="I613" t="s">
        <v>27</v>
      </c>
      <c r="J613" t="s">
        <v>771</v>
      </c>
      <c r="K613">
        <v>7206.08</v>
      </c>
      <c r="L613">
        <v>0.122300064272162</v>
      </c>
      <c r="M613">
        <v>2020</v>
      </c>
      <c r="N613" t="s">
        <v>1182</v>
      </c>
      <c r="O613">
        <v>12</v>
      </c>
      <c r="P613" t="s">
        <v>1217</v>
      </c>
    </row>
    <row r="614" spans="1:16" x14ac:dyDescent="0.3">
      <c r="A614" t="s">
        <v>10</v>
      </c>
      <c r="B614">
        <v>74273.539999999994</v>
      </c>
      <c r="C614">
        <v>61981.27</v>
      </c>
      <c r="D614" s="1">
        <v>43918</v>
      </c>
      <c r="E614" t="s">
        <v>76</v>
      </c>
      <c r="F614" t="s">
        <v>135</v>
      </c>
      <c r="G614" t="s">
        <v>13</v>
      </c>
      <c r="H614" t="s">
        <v>110</v>
      </c>
      <c r="I614" t="s">
        <v>27</v>
      </c>
      <c r="J614" t="s">
        <v>772</v>
      </c>
      <c r="K614">
        <v>12292.27</v>
      </c>
      <c r="L614">
        <v>0.165499988286542</v>
      </c>
      <c r="M614">
        <v>2020</v>
      </c>
      <c r="N614" t="s">
        <v>1176</v>
      </c>
      <c r="O614">
        <v>3</v>
      </c>
      <c r="P614" t="s">
        <v>1215</v>
      </c>
    </row>
    <row r="615" spans="1:16" x14ac:dyDescent="0.3">
      <c r="A615" t="s">
        <v>10</v>
      </c>
      <c r="B615">
        <v>116469.33</v>
      </c>
      <c r="C615">
        <v>95190.38</v>
      </c>
      <c r="D615" s="1">
        <v>43861</v>
      </c>
      <c r="E615" t="s">
        <v>181</v>
      </c>
      <c r="F615" t="s">
        <v>285</v>
      </c>
      <c r="G615" t="s">
        <v>13</v>
      </c>
      <c r="H615" t="s">
        <v>110</v>
      </c>
      <c r="I615" t="s">
        <v>27</v>
      </c>
      <c r="J615" t="s">
        <v>773</v>
      </c>
      <c r="K615">
        <v>21278.95</v>
      </c>
      <c r="L615">
        <v>0.18270002926950801</v>
      </c>
      <c r="M615">
        <v>2020</v>
      </c>
      <c r="N615" t="s">
        <v>1177</v>
      </c>
      <c r="O615">
        <v>1</v>
      </c>
      <c r="P615" t="s">
        <v>1217</v>
      </c>
    </row>
    <row r="616" spans="1:16" x14ac:dyDescent="0.3">
      <c r="A616" t="s">
        <v>22</v>
      </c>
      <c r="B616">
        <v>149514</v>
      </c>
      <c r="C616">
        <v>122646.33</v>
      </c>
      <c r="D616" s="1">
        <v>44122</v>
      </c>
      <c r="E616" t="s">
        <v>11</v>
      </c>
      <c r="F616" t="s">
        <v>144</v>
      </c>
      <c r="G616" t="s">
        <v>25</v>
      </c>
      <c r="H616" t="s">
        <v>167</v>
      </c>
      <c r="I616" t="s">
        <v>32</v>
      </c>
      <c r="J616" t="s">
        <v>774</v>
      </c>
      <c r="K616">
        <v>26867.67</v>
      </c>
      <c r="L616">
        <v>0.17970002809101501</v>
      </c>
      <c r="M616">
        <v>2020</v>
      </c>
      <c r="N616" t="s">
        <v>1178</v>
      </c>
      <c r="O616">
        <v>10</v>
      </c>
      <c r="P616" t="s">
        <v>1216</v>
      </c>
    </row>
    <row r="617" spans="1:16" x14ac:dyDescent="0.3">
      <c r="A617" t="s">
        <v>10</v>
      </c>
      <c r="B617">
        <v>161192.45000000001</v>
      </c>
      <c r="C617">
        <v>135965.82999999999</v>
      </c>
      <c r="D617" s="1">
        <v>43562</v>
      </c>
      <c r="E617" t="s">
        <v>40</v>
      </c>
      <c r="F617" t="s">
        <v>18</v>
      </c>
      <c r="G617" t="s">
        <v>13</v>
      </c>
      <c r="H617" t="s">
        <v>14</v>
      </c>
      <c r="I617" t="s">
        <v>27</v>
      </c>
      <c r="J617" t="s">
        <v>775</v>
      </c>
      <c r="K617">
        <v>25226.62</v>
      </c>
      <c r="L617">
        <v>0.15650000977092901</v>
      </c>
      <c r="M617">
        <v>2019</v>
      </c>
      <c r="N617" t="s">
        <v>1172</v>
      </c>
      <c r="O617">
        <v>4</v>
      </c>
      <c r="P617" t="s">
        <v>1215</v>
      </c>
    </row>
    <row r="618" spans="1:16" x14ac:dyDescent="0.3">
      <c r="A618" t="s">
        <v>17</v>
      </c>
      <c r="B618">
        <v>84194.21</v>
      </c>
      <c r="C618">
        <v>71885.02</v>
      </c>
      <c r="D618" s="1">
        <v>44191</v>
      </c>
      <c r="E618" t="s">
        <v>91</v>
      </c>
      <c r="F618" t="s">
        <v>109</v>
      </c>
      <c r="G618" t="s">
        <v>19</v>
      </c>
      <c r="H618" t="s">
        <v>49</v>
      </c>
      <c r="I618" t="s">
        <v>32</v>
      </c>
      <c r="J618" t="s">
        <v>776</v>
      </c>
      <c r="K618">
        <v>12309.19</v>
      </c>
      <c r="L618">
        <v>0.146199958405691</v>
      </c>
      <c r="M618">
        <v>2020</v>
      </c>
      <c r="N618" t="s">
        <v>1182</v>
      </c>
      <c r="O618">
        <v>12</v>
      </c>
      <c r="P618" t="s">
        <v>1217</v>
      </c>
    </row>
    <row r="619" spans="1:16" x14ac:dyDescent="0.3">
      <c r="A619" t="s">
        <v>17</v>
      </c>
      <c r="B619">
        <v>163401.23000000001</v>
      </c>
      <c r="C619">
        <v>139413.93</v>
      </c>
      <c r="D619" s="1">
        <v>43577</v>
      </c>
      <c r="E619" t="s">
        <v>40</v>
      </c>
      <c r="F619" t="s">
        <v>18</v>
      </c>
      <c r="G619" t="s">
        <v>19</v>
      </c>
      <c r="H619" t="s">
        <v>49</v>
      </c>
      <c r="I619" t="s">
        <v>27</v>
      </c>
      <c r="J619" t="s">
        <v>777</v>
      </c>
      <c r="K619">
        <v>23987.3</v>
      </c>
      <c r="L619">
        <v>0.146799996548374</v>
      </c>
      <c r="M619">
        <v>2019</v>
      </c>
      <c r="N619" t="s">
        <v>1172</v>
      </c>
      <c r="O619">
        <v>4</v>
      </c>
      <c r="P619" t="s">
        <v>1215</v>
      </c>
    </row>
    <row r="620" spans="1:16" x14ac:dyDescent="0.3">
      <c r="A620" t="s">
        <v>22</v>
      </c>
      <c r="B620">
        <v>131610.37</v>
      </c>
      <c r="C620">
        <v>106406.98</v>
      </c>
      <c r="D620" s="1">
        <v>43951</v>
      </c>
      <c r="E620" t="s">
        <v>76</v>
      </c>
      <c r="F620" t="s">
        <v>67</v>
      </c>
      <c r="G620" t="s">
        <v>25</v>
      </c>
      <c r="H620" t="s">
        <v>26</v>
      </c>
      <c r="I620" t="s">
        <v>27</v>
      </c>
      <c r="J620" t="s">
        <v>778</v>
      </c>
      <c r="K620">
        <v>25203.39</v>
      </c>
      <c r="L620">
        <v>0.191500031494479</v>
      </c>
      <c r="M620">
        <v>2020</v>
      </c>
      <c r="N620" t="s">
        <v>1172</v>
      </c>
      <c r="O620">
        <v>4</v>
      </c>
      <c r="P620" t="s">
        <v>1215</v>
      </c>
    </row>
    <row r="621" spans="1:16" x14ac:dyDescent="0.3">
      <c r="A621" t="s">
        <v>17</v>
      </c>
      <c r="B621">
        <v>110090.36</v>
      </c>
      <c r="C621">
        <v>93433.69</v>
      </c>
      <c r="D621" s="1">
        <v>43467</v>
      </c>
      <c r="E621" t="s">
        <v>40</v>
      </c>
      <c r="F621" t="s">
        <v>227</v>
      </c>
      <c r="G621" t="s">
        <v>19</v>
      </c>
      <c r="H621" t="s">
        <v>78</v>
      </c>
      <c r="I621" t="s">
        <v>27</v>
      </c>
      <c r="J621" t="s">
        <v>779</v>
      </c>
      <c r="K621">
        <v>16656.669999999998</v>
      </c>
      <c r="L621">
        <v>0.15129998666549899</v>
      </c>
      <c r="M621">
        <v>2019</v>
      </c>
      <c r="N621" t="s">
        <v>1177</v>
      </c>
      <c r="O621">
        <v>1</v>
      </c>
      <c r="P621" t="s">
        <v>1217</v>
      </c>
    </row>
    <row r="622" spans="1:16" x14ac:dyDescent="0.3">
      <c r="A622" t="s">
        <v>34</v>
      </c>
      <c r="B622">
        <v>169629.55</v>
      </c>
      <c r="C622">
        <v>135347.42000000001</v>
      </c>
      <c r="D622" s="1">
        <v>43761</v>
      </c>
      <c r="E622" t="s">
        <v>181</v>
      </c>
      <c r="F622" t="s">
        <v>56</v>
      </c>
      <c r="G622" t="s">
        <v>36</v>
      </c>
      <c r="H622" t="s">
        <v>93</v>
      </c>
      <c r="I622" t="s">
        <v>27</v>
      </c>
      <c r="J622" t="s">
        <v>780</v>
      </c>
      <c r="K622">
        <v>34282.129999999997</v>
      </c>
      <c r="L622">
        <v>0.20209998788536501</v>
      </c>
      <c r="M622">
        <v>2019</v>
      </c>
      <c r="N622" t="s">
        <v>1178</v>
      </c>
      <c r="O622">
        <v>10</v>
      </c>
      <c r="P622" t="s">
        <v>1216</v>
      </c>
    </row>
    <row r="623" spans="1:16" x14ac:dyDescent="0.3">
      <c r="A623" t="s">
        <v>10</v>
      </c>
      <c r="B623">
        <v>185778.3</v>
      </c>
      <c r="C623">
        <v>154734.75</v>
      </c>
      <c r="D623" s="1">
        <v>44007</v>
      </c>
      <c r="E623" t="s">
        <v>29</v>
      </c>
      <c r="F623" t="s">
        <v>60</v>
      </c>
      <c r="G623" t="s">
        <v>13</v>
      </c>
      <c r="H623" t="s">
        <v>14</v>
      </c>
      <c r="I623" t="s">
        <v>27</v>
      </c>
      <c r="J623" t="s">
        <v>781</v>
      </c>
      <c r="K623">
        <v>31043.55</v>
      </c>
      <c r="L623">
        <v>0.16709997884575301</v>
      </c>
      <c r="M623">
        <v>2020</v>
      </c>
      <c r="N623" t="s">
        <v>1179</v>
      </c>
      <c r="O623">
        <v>6</v>
      </c>
      <c r="P623" t="s">
        <v>1214</v>
      </c>
    </row>
    <row r="624" spans="1:16" x14ac:dyDescent="0.3">
      <c r="A624" t="s">
        <v>22</v>
      </c>
      <c r="B624">
        <v>147656.51999999999</v>
      </c>
      <c r="C624">
        <v>124193.9</v>
      </c>
      <c r="D624" s="1">
        <v>43591</v>
      </c>
      <c r="E624" t="s">
        <v>51</v>
      </c>
      <c r="F624" t="s">
        <v>272</v>
      </c>
      <c r="G624" t="s">
        <v>25</v>
      </c>
      <c r="H624" t="s">
        <v>26</v>
      </c>
      <c r="I624" t="s">
        <v>27</v>
      </c>
      <c r="J624" t="s">
        <v>782</v>
      </c>
      <c r="K624">
        <v>23462.62</v>
      </c>
      <c r="L624">
        <v>0.15889999303789601</v>
      </c>
      <c r="M624">
        <v>2019</v>
      </c>
      <c r="N624" t="s">
        <v>1173</v>
      </c>
      <c r="O624">
        <v>5</v>
      </c>
      <c r="P624" t="s">
        <v>1215</v>
      </c>
    </row>
    <row r="625" spans="1:16" x14ac:dyDescent="0.3">
      <c r="A625" t="s">
        <v>10</v>
      </c>
      <c r="B625">
        <v>296844.24</v>
      </c>
      <c r="C625">
        <v>244926.18</v>
      </c>
      <c r="D625" s="1">
        <v>43683</v>
      </c>
      <c r="E625" t="s">
        <v>99</v>
      </c>
      <c r="F625" t="s">
        <v>373</v>
      </c>
      <c r="G625" t="s">
        <v>13</v>
      </c>
      <c r="H625" t="s">
        <v>14</v>
      </c>
      <c r="I625" t="s">
        <v>27</v>
      </c>
      <c r="J625" t="s">
        <v>783</v>
      </c>
      <c r="K625">
        <v>51918.06</v>
      </c>
      <c r="L625">
        <v>0.17490000816589901</v>
      </c>
      <c r="M625">
        <v>2019</v>
      </c>
      <c r="N625" t="s">
        <v>1171</v>
      </c>
      <c r="O625">
        <v>8</v>
      </c>
      <c r="P625" t="s">
        <v>1214</v>
      </c>
    </row>
    <row r="626" spans="1:16" x14ac:dyDescent="0.3">
      <c r="A626" t="s">
        <v>22</v>
      </c>
      <c r="B626">
        <v>179323.22</v>
      </c>
      <c r="C626">
        <v>150739.1</v>
      </c>
      <c r="D626" s="1">
        <v>44051</v>
      </c>
      <c r="E626" t="s">
        <v>51</v>
      </c>
      <c r="F626" t="s">
        <v>189</v>
      </c>
      <c r="G626" t="s">
        <v>25</v>
      </c>
      <c r="H626" t="s">
        <v>87</v>
      </c>
      <c r="I626" t="s">
        <v>15</v>
      </c>
      <c r="J626" t="s">
        <v>784</v>
      </c>
      <c r="K626">
        <v>28584.12</v>
      </c>
      <c r="L626">
        <v>0.159399992928969</v>
      </c>
      <c r="M626">
        <v>2020</v>
      </c>
      <c r="N626" t="s">
        <v>1171</v>
      </c>
      <c r="O626">
        <v>8</v>
      </c>
      <c r="P626" t="s">
        <v>1214</v>
      </c>
    </row>
    <row r="627" spans="1:16" x14ac:dyDescent="0.3">
      <c r="A627" t="s">
        <v>216</v>
      </c>
      <c r="B627">
        <v>203231.73</v>
      </c>
      <c r="C627">
        <v>163052.82</v>
      </c>
      <c r="D627" s="1">
        <v>43822</v>
      </c>
      <c r="E627" t="s">
        <v>91</v>
      </c>
      <c r="F627" t="s">
        <v>755</v>
      </c>
      <c r="G627" t="s">
        <v>217</v>
      </c>
      <c r="H627" t="s">
        <v>218</v>
      </c>
      <c r="I627" t="s">
        <v>27</v>
      </c>
      <c r="J627" t="s">
        <v>785</v>
      </c>
      <c r="K627">
        <v>40178.910000000003</v>
      </c>
      <c r="L627">
        <v>0.19769998513519499</v>
      </c>
      <c r="M627">
        <v>2019</v>
      </c>
      <c r="N627" t="s">
        <v>1182</v>
      </c>
      <c r="O627">
        <v>12</v>
      </c>
      <c r="P627" t="s">
        <v>1217</v>
      </c>
    </row>
    <row r="628" spans="1:16" x14ac:dyDescent="0.3">
      <c r="A628" t="s">
        <v>22</v>
      </c>
      <c r="B628">
        <v>157942.65</v>
      </c>
      <c r="C628">
        <v>136620.39000000001</v>
      </c>
      <c r="D628" s="1">
        <v>44005</v>
      </c>
      <c r="E628" t="s">
        <v>29</v>
      </c>
      <c r="F628" t="s">
        <v>106</v>
      </c>
      <c r="G628" t="s">
        <v>25</v>
      </c>
      <c r="H628" t="s">
        <v>87</v>
      </c>
      <c r="I628" t="s">
        <v>27</v>
      </c>
      <c r="J628" t="s">
        <v>786</v>
      </c>
      <c r="K628">
        <v>21322.26</v>
      </c>
      <c r="L628">
        <v>0.13500001424567701</v>
      </c>
      <c r="M628">
        <v>2020</v>
      </c>
      <c r="N628" t="s">
        <v>1179</v>
      </c>
      <c r="O628">
        <v>6</v>
      </c>
      <c r="P628" t="s">
        <v>1214</v>
      </c>
    </row>
    <row r="629" spans="1:16" x14ac:dyDescent="0.3">
      <c r="A629" t="s">
        <v>17</v>
      </c>
      <c r="B629">
        <v>102771.44</v>
      </c>
      <c r="C629">
        <v>83584.009999999995</v>
      </c>
      <c r="D629" s="1">
        <v>43793</v>
      </c>
      <c r="E629" t="s">
        <v>55</v>
      </c>
      <c r="F629" t="s">
        <v>367</v>
      </c>
      <c r="G629" t="s">
        <v>19</v>
      </c>
      <c r="H629" t="s">
        <v>78</v>
      </c>
      <c r="I629" t="s">
        <v>27</v>
      </c>
      <c r="J629" t="s">
        <v>787</v>
      </c>
      <c r="K629">
        <v>19187.43</v>
      </c>
      <c r="L629">
        <v>0.18670002093967</v>
      </c>
      <c r="M629">
        <v>2019</v>
      </c>
      <c r="N629" t="s">
        <v>1180</v>
      </c>
      <c r="O629">
        <v>11</v>
      </c>
      <c r="P629" t="s">
        <v>1216</v>
      </c>
    </row>
    <row r="630" spans="1:16" x14ac:dyDescent="0.3">
      <c r="A630" t="s">
        <v>22</v>
      </c>
      <c r="B630">
        <v>41921.61</v>
      </c>
      <c r="C630">
        <v>34773.980000000003</v>
      </c>
      <c r="D630" s="1">
        <v>44163</v>
      </c>
      <c r="E630" t="s">
        <v>11</v>
      </c>
      <c r="F630" t="s">
        <v>335</v>
      </c>
      <c r="G630" t="s">
        <v>25</v>
      </c>
      <c r="H630" t="s">
        <v>63</v>
      </c>
      <c r="I630" t="s">
        <v>15</v>
      </c>
      <c r="J630" t="s">
        <v>788</v>
      </c>
      <c r="K630">
        <v>7147.63</v>
      </c>
      <c r="L630">
        <v>0.17049989253752401</v>
      </c>
      <c r="M630">
        <v>2020</v>
      </c>
      <c r="N630" t="s">
        <v>1180</v>
      </c>
      <c r="O630">
        <v>11</v>
      </c>
      <c r="P630" t="s">
        <v>1216</v>
      </c>
    </row>
    <row r="631" spans="1:16" x14ac:dyDescent="0.3">
      <c r="A631" t="s">
        <v>22</v>
      </c>
      <c r="B631">
        <v>107232.99</v>
      </c>
      <c r="C631">
        <v>85207.33</v>
      </c>
      <c r="D631" s="1">
        <v>44046</v>
      </c>
      <c r="E631" t="s">
        <v>23</v>
      </c>
      <c r="F631" t="s">
        <v>106</v>
      </c>
      <c r="G631" t="s">
        <v>25</v>
      </c>
      <c r="H631" t="s">
        <v>167</v>
      </c>
      <c r="I631" t="s">
        <v>27</v>
      </c>
      <c r="J631" t="s">
        <v>789</v>
      </c>
      <c r="K631">
        <v>22025.66</v>
      </c>
      <c r="L631">
        <v>0.20540003594043199</v>
      </c>
      <c r="M631">
        <v>2020</v>
      </c>
      <c r="N631" t="s">
        <v>1171</v>
      </c>
      <c r="O631">
        <v>8</v>
      </c>
      <c r="P631" t="s">
        <v>1214</v>
      </c>
    </row>
    <row r="632" spans="1:16" x14ac:dyDescent="0.3">
      <c r="A632" t="s">
        <v>10</v>
      </c>
      <c r="B632">
        <v>45261.84</v>
      </c>
      <c r="C632">
        <v>37816.269999999997</v>
      </c>
      <c r="D632" s="1">
        <v>44156</v>
      </c>
      <c r="E632" t="s">
        <v>76</v>
      </c>
      <c r="F632" t="s">
        <v>133</v>
      </c>
      <c r="G632" t="s">
        <v>13</v>
      </c>
      <c r="H632" t="s">
        <v>72</v>
      </c>
      <c r="I632" t="s">
        <v>27</v>
      </c>
      <c r="J632" t="s">
        <v>790</v>
      </c>
      <c r="K632">
        <v>7445.57</v>
      </c>
      <c r="L632">
        <v>0.16449994078897401</v>
      </c>
      <c r="M632">
        <v>2020</v>
      </c>
      <c r="N632" t="s">
        <v>1180</v>
      </c>
      <c r="O632">
        <v>11</v>
      </c>
      <c r="P632" t="s">
        <v>1216</v>
      </c>
    </row>
    <row r="633" spans="1:16" x14ac:dyDescent="0.3">
      <c r="A633" t="s">
        <v>17</v>
      </c>
      <c r="B633">
        <v>74103.820000000007</v>
      </c>
      <c r="C633">
        <v>64811.199999999997</v>
      </c>
      <c r="D633" s="1">
        <v>43862</v>
      </c>
      <c r="E633" t="s">
        <v>23</v>
      </c>
      <c r="F633" t="s">
        <v>56</v>
      </c>
      <c r="G633" t="s">
        <v>19</v>
      </c>
      <c r="H633" t="s">
        <v>157</v>
      </c>
      <c r="I633" t="s">
        <v>27</v>
      </c>
      <c r="J633" t="s">
        <v>791</v>
      </c>
      <c r="K633">
        <v>9292.6200000000008</v>
      </c>
      <c r="L633">
        <v>0.12540001311673299</v>
      </c>
      <c r="M633">
        <v>2020</v>
      </c>
      <c r="N633" t="s">
        <v>1181</v>
      </c>
      <c r="O633">
        <v>2</v>
      </c>
      <c r="P633" t="s">
        <v>1217</v>
      </c>
    </row>
    <row r="634" spans="1:16" x14ac:dyDescent="0.3">
      <c r="A634" t="s">
        <v>10</v>
      </c>
      <c r="B634">
        <v>263713.12</v>
      </c>
      <c r="C634">
        <v>216165.64</v>
      </c>
      <c r="D634" s="1">
        <v>44012</v>
      </c>
      <c r="E634" t="s">
        <v>29</v>
      </c>
      <c r="F634" t="s">
        <v>308</v>
      </c>
      <c r="G634" t="s">
        <v>13</v>
      </c>
      <c r="H634" t="s">
        <v>14</v>
      </c>
      <c r="I634" t="s">
        <v>27</v>
      </c>
      <c r="J634" t="s">
        <v>792</v>
      </c>
      <c r="K634">
        <v>47547.48</v>
      </c>
      <c r="L634">
        <v>0.18030001692748501</v>
      </c>
      <c r="M634">
        <v>2020</v>
      </c>
      <c r="N634" t="s">
        <v>1179</v>
      </c>
      <c r="O634">
        <v>6</v>
      </c>
      <c r="P634" t="s">
        <v>1214</v>
      </c>
    </row>
    <row r="635" spans="1:16" x14ac:dyDescent="0.3">
      <c r="A635" t="s">
        <v>17</v>
      </c>
      <c r="B635">
        <v>80839.75</v>
      </c>
      <c r="C635">
        <v>63936.160000000003</v>
      </c>
      <c r="D635" s="1">
        <v>43972</v>
      </c>
      <c r="E635" t="s">
        <v>11</v>
      </c>
      <c r="F635" t="s">
        <v>272</v>
      </c>
      <c r="G635" t="s">
        <v>19</v>
      </c>
      <c r="H635" t="s">
        <v>31</v>
      </c>
      <c r="I635" t="s">
        <v>27</v>
      </c>
      <c r="J635" t="s">
        <v>793</v>
      </c>
      <c r="K635">
        <v>16903.59</v>
      </c>
      <c r="L635">
        <v>0.209099978661488</v>
      </c>
      <c r="M635">
        <v>2020</v>
      </c>
      <c r="N635" t="s">
        <v>1173</v>
      </c>
      <c r="O635">
        <v>5</v>
      </c>
      <c r="P635" t="s">
        <v>1215</v>
      </c>
    </row>
    <row r="636" spans="1:16" x14ac:dyDescent="0.3">
      <c r="A636" t="s">
        <v>17</v>
      </c>
      <c r="B636">
        <v>144927.17000000001</v>
      </c>
      <c r="C636">
        <v>122260.56</v>
      </c>
      <c r="D636" s="1">
        <v>44021</v>
      </c>
      <c r="E636" t="s">
        <v>23</v>
      </c>
      <c r="F636" t="s">
        <v>45</v>
      </c>
      <c r="G636" t="s">
        <v>19</v>
      </c>
      <c r="H636" t="s">
        <v>31</v>
      </c>
      <c r="I636" t="s">
        <v>27</v>
      </c>
      <c r="J636" t="s">
        <v>794</v>
      </c>
      <c r="K636">
        <v>22666.61</v>
      </c>
      <c r="L636">
        <v>0.156400004222811</v>
      </c>
      <c r="M636">
        <v>2020</v>
      </c>
      <c r="N636" t="s">
        <v>1174</v>
      </c>
      <c r="O636">
        <v>7</v>
      </c>
      <c r="P636" t="s">
        <v>1214</v>
      </c>
    </row>
    <row r="637" spans="1:16" x14ac:dyDescent="0.3">
      <c r="A637" t="s">
        <v>22</v>
      </c>
      <c r="B637">
        <v>30550.32</v>
      </c>
      <c r="C637">
        <v>25457.58</v>
      </c>
      <c r="D637" s="1">
        <v>43616</v>
      </c>
      <c r="E637" t="s">
        <v>76</v>
      </c>
      <c r="F637" t="s">
        <v>400</v>
      </c>
      <c r="G637" t="s">
        <v>25</v>
      </c>
      <c r="H637" t="s">
        <v>167</v>
      </c>
      <c r="I637" t="s">
        <v>32</v>
      </c>
      <c r="J637" t="s">
        <v>795</v>
      </c>
      <c r="K637">
        <v>5092.74</v>
      </c>
      <c r="L637">
        <v>0.16670005420565201</v>
      </c>
      <c r="M637">
        <v>2019</v>
      </c>
      <c r="N637" t="s">
        <v>1173</v>
      </c>
      <c r="O637">
        <v>5</v>
      </c>
      <c r="P637" t="s">
        <v>1215</v>
      </c>
    </row>
    <row r="638" spans="1:16" x14ac:dyDescent="0.3">
      <c r="A638" t="s">
        <v>17</v>
      </c>
      <c r="B638">
        <v>173829.96</v>
      </c>
      <c r="C638">
        <v>149824.04</v>
      </c>
      <c r="D638" s="1">
        <v>43731</v>
      </c>
      <c r="E638" t="s">
        <v>76</v>
      </c>
      <c r="F638" t="s">
        <v>174</v>
      </c>
      <c r="G638" t="s">
        <v>19</v>
      </c>
      <c r="H638" t="s">
        <v>20</v>
      </c>
      <c r="I638" t="s">
        <v>27</v>
      </c>
      <c r="J638" t="s">
        <v>796</v>
      </c>
      <c r="K638">
        <v>24005.919999999998</v>
      </c>
      <c r="L638">
        <v>0.138100014519937</v>
      </c>
      <c r="M638">
        <v>2019</v>
      </c>
      <c r="N638" t="s">
        <v>1175</v>
      </c>
      <c r="O638">
        <v>9</v>
      </c>
      <c r="P638" t="s">
        <v>1216</v>
      </c>
    </row>
    <row r="639" spans="1:16" x14ac:dyDescent="0.3">
      <c r="A639" t="s">
        <v>54</v>
      </c>
      <c r="B639">
        <v>76652.73</v>
      </c>
      <c r="C639">
        <v>64311.64</v>
      </c>
      <c r="D639" s="1">
        <v>43929</v>
      </c>
      <c r="E639" t="s">
        <v>55</v>
      </c>
      <c r="F639" t="s">
        <v>400</v>
      </c>
      <c r="G639" t="s">
        <v>57</v>
      </c>
      <c r="H639" t="s">
        <v>58</v>
      </c>
      <c r="I639" t="s">
        <v>27</v>
      </c>
      <c r="J639" t="s">
        <v>797</v>
      </c>
      <c r="K639">
        <v>12341.09</v>
      </c>
      <c r="L639">
        <v>0.16100000613154899</v>
      </c>
      <c r="M639">
        <v>2020</v>
      </c>
      <c r="N639" t="s">
        <v>1172</v>
      </c>
      <c r="O639">
        <v>4</v>
      </c>
      <c r="P639" t="s">
        <v>1215</v>
      </c>
    </row>
    <row r="640" spans="1:16" x14ac:dyDescent="0.3">
      <c r="A640" t="s">
        <v>17</v>
      </c>
      <c r="B640">
        <v>164243.32</v>
      </c>
      <c r="C640">
        <v>134121.1</v>
      </c>
      <c r="D640" s="1">
        <v>43605</v>
      </c>
      <c r="E640" t="s">
        <v>51</v>
      </c>
      <c r="F640" t="s">
        <v>30</v>
      </c>
      <c r="G640" t="s">
        <v>19</v>
      </c>
      <c r="H640" t="s">
        <v>20</v>
      </c>
      <c r="I640" t="s">
        <v>27</v>
      </c>
      <c r="J640" t="s">
        <v>798</v>
      </c>
      <c r="K640">
        <v>30122.22</v>
      </c>
      <c r="L640">
        <v>0.18339997023927701</v>
      </c>
      <c r="M640">
        <v>2019</v>
      </c>
      <c r="N640" t="s">
        <v>1173</v>
      </c>
      <c r="O640">
        <v>5</v>
      </c>
      <c r="P640" t="s">
        <v>1215</v>
      </c>
    </row>
    <row r="641" spans="1:16" x14ac:dyDescent="0.3">
      <c r="A641" t="s">
        <v>34</v>
      </c>
      <c r="B641">
        <v>152865.34</v>
      </c>
      <c r="C641">
        <v>121130.5</v>
      </c>
      <c r="D641" s="1">
        <v>43994</v>
      </c>
      <c r="E641" t="s">
        <v>40</v>
      </c>
      <c r="F641" t="s">
        <v>12</v>
      </c>
      <c r="G641" t="s">
        <v>36</v>
      </c>
      <c r="H641" t="s">
        <v>37</v>
      </c>
      <c r="I641" t="s">
        <v>27</v>
      </c>
      <c r="J641" t="s">
        <v>799</v>
      </c>
      <c r="K641">
        <v>31734.84</v>
      </c>
      <c r="L641">
        <v>0.20759997001282299</v>
      </c>
      <c r="M641">
        <v>2020</v>
      </c>
      <c r="N641" t="s">
        <v>1179</v>
      </c>
      <c r="O641">
        <v>6</v>
      </c>
      <c r="P641" t="s">
        <v>1214</v>
      </c>
    </row>
    <row r="642" spans="1:16" x14ac:dyDescent="0.3">
      <c r="A642" t="s">
        <v>151</v>
      </c>
      <c r="B642">
        <v>119819.37</v>
      </c>
      <c r="C642">
        <v>105441.05</v>
      </c>
      <c r="D642" s="1">
        <v>44024</v>
      </c>
      <c r="E642" t="s">
        <v>51</v>
      </c>
      <c r="F642" t="s">
        <v>174</v>
      </c>
      <c r="G642" t="s">
        <v>152</v>
      </c>
      <c r="H642" t="s">
        <v>153</v>
      </c>
      <c r="I642" t="s">
        <v>27</v>
      </c>
      <c r="J642" t="s">
        <v>800</v>
      </c>
      <c r="K642">
        <v>14378.32</v>
      </c>
      <c r="L642">
        <v>0.11999996327805799</v>
      </c>
      <c r="M642">
        <v>2020</v>
      </c>
      <c r="N642" t="s">
        <v>1174</v>
      </c>
      <c r="O642">
        <v>7</v>
      </c>
      <c r="P642" t="s">
        <v>1214</v>
      </c>
    </row>
    <row r="643" spans="1:16" x14ac:dyDescent="0.3">
      <c r="A643" t="s">
        <v>54</v>
      </c>
      <c r="B643">
        <v>190100.96</v>
      </c>
      <c r="C643">
        <v>160749.37</v>
      </c>
      <c r="D643" s="1">
        <v>43819</v>
      </c>
      <c r="E643" t="s">
        <v>29</v>
      </c>
      <c r="F643" t="s">
        <v>373</v>
      </c>
      <c r="G643" t="s">
        <v>57</v>
      </c>
      <c r="H643" t="s">
        <v>58</v>
      </c>
      <c r="I643" t="s">
        <v>27</v>
      </c>
      <c r="J643" t="s">
        <v>801</v>
      </c>
      <c r="K643">
        <v>29351.59</v>
      </c>
      <c r="L643">
        <v>0.154400009342404</v>
      </c>
      <c r="M643">
        <v>2019</v>
      </c>
      <c r="N643" t="s">
        <v>1182</v>
      </c>
      <c r="O643">
        <v>12</v>
      </c>
      <c r="P643" t="s">
        <v>1217</v>
      </c>
    </row>
    <row r="644" spans="1:16" x14ac:dyDescent="0.3">
      <c r="A644" t="s">
        <v>169</v>
      </c>
      <c r="B644">
        <v>39287.29</v>
      </c>
      <c r="C644">
        <v>31708.77</v>
      </c>
      <c r="D644" s="1">
        <v>43539</v>
      </c>
      <c r="E644" t="s">
        <v>11</v>
      </c>
      <c r="F644" t="s">
        <v>133</v>
      </c>
      <c r="G644" t="s">
        <v>171</v>
      </c>
      <c r="H644" t="s">
        <v>298</v>
      </c>
      <c r="I644" t="s">
        <v>27</v>
      </c>
      <c r="J644" t="s">
        <v>802</v>
      </c>
      <c r="K644">
        <v>7578.52</v>
      </c>
      <c r="L644">
        <v>0.19290004477275</v>
      </c>
      <c r="M644">
        <v>2019</v>
      </c>
      <c r="N644" t="s">
        <v>1176</v>
      </c>
      <c r="O644">
        <v>3</v>
      </c>
      <c r="P644" t="s">
        <v>1215</v>
      </c>
    </row>
    <row r="645" spans="1:16" x14ac:dyDescent="0.3">
      <c r="A645" t="s">
        <v>22</v>
      </c>
      <c r="B645">
        <v>105340.85</v>
      </c>
      <c r="C645">
        <v>87285.43</v>
      </c>
      <c r="D645" s="1">
        <v>44061</v>
      </c>
      <c r="E645" t="s">
        <v>91</v>
      </c>
      <c r="F645" t="s">
        <v>400</v>
      </c>
      <c r="G645" t="s">
        <v>25</v>
      </c>
      <c r="H645" t="s">
        <v>87</v>
      </c>
      <c r="I645" t="s">
        <v>27</v>
      </c>
      <c r="J645" t="s">
        <v>803</v>
      </c>
      <c r="K645">
        <v>18055.419999999998</v>
      </c>
      <c r="L645">
        <v>0.171399983956841</v>
      </c>
      <c r="M645">
        <v>2020</v>
      </c>
      <c r="N645" t="s">
        <v>1171</v>
      </c>
      <c r="O645">
        <v>8</v>
      </c>
      <c r="P645" t="s">
        <v>1214</v>
      </c>
    </row>
    <row r="646" spans="1:16" x14ac:dyDescent="0.3">
      <c r="A646" t="s">
        <v>17</v>
      </c>
      <c r="B646">
        <v>57333.85</v>
      </c>
      <c r="C646">
        <v>46308.55</v>
      </c>
      <c r="D646" s="1">
        <v>44128</v>
      </c>
      <c r="E646" t="s">
        <v>99</v>
      </c>
      <c r="F646" t="s">
        <v>272</v>
      </c>
      <c r="G646" t="s">
        <v>19</v>
      </c>
      <c r="H646" t="s">
        <v>20</v>
      </c>
      <c r="I646" t="s">
        <v>27</v>
      </c>
      <c r="J646" t="s">
        <v>804</v>
      </c>
      <c r="K646">
        <v>11025.3</v>
      </c>
      <c r="L646">
        <v>0.19230001124989901</v>
      </c>
      <c r="M646">
        <v>2020</v>
      </c>
      <c r="N646" t="s">
        <v>1178</v>
      </c>
      <c r="O646">
        <v>10</v>
      </c>
      <c r="P646" t="s">
        <v>1216</v>
      </c>
    </row>
    <row r="647" spans="1:16" x14ac:dyDescent="0.3">
      <c r="A647" t="s">
        <v>17</v>
      </c>
      <c r="B647">
        <v>57348.43</v>
      </c>
      <c r="C647">
        <v>47587.73</v>
      </c>
      <c r="D647" s="1">
        <v>43800</v>
      </c>
      <c r="E647" t="s">
        <v>40</v>
      </c>
      <c r="F647" t="s">
        <v>106</v>
      </c>
      <c r="G647" t="s">
        <v>19</v>
      </c>
      <c r="H647" t="s">
        <v>31</v>
      </c>
      <c r="I647" t="s">
        <v>27</v>
      </c>
      <c r="J647" t="s">
        <v>805</v>
      </c>
      <c r="K647">
        <v>9760.7000000000007</v>
      </c>
      <c r="L647">
        <v>0.17019995141976901</v>
      </c>
      <c r="M647">
        <v>2019</v>
      </c>
      <c r="N647" t="s">
        <v>1182</v>
      </c>
      <c r="O647">
        <v>12</v>
      </c>
      <c r="P647" t="s">
        <v>1217</v>
      </c>
    </row>
    <row r="648" spans="1:16" x14ac:dyDescent="0.3">
      <c r="A648" t="s">
        <v>34</v>
      </c>
      <c r="B648">
        <v>24543.72</v>
      </c>
      <c r="C648">
        <v>19492.62</v>
      </c>
      <c r="D648" s="1">
        <v>43546</v>
      </c>
      <c r="E648" t="s">
        <v>40</v>
      </c>
      <c r="F648" t="s">
        <v>106</v>
      </c>
      <c r="G648" t="s">
        <v>36</v>
      </c>
      <c r="H648" t="s">
        <v>93</v>
      </c>
      <c r="I648" t="s">
        <v>27</v>
      </c>
      <c r="J648" t="s">
        <v>806</v>
      </c>
      <c r="K648">
        <v>5051.1000000000004</v>
      </c>
      <c r="L648">
        <v>0.20580009876253499</v>
      </c>
      <c r="M648">
        <v>2019</v>
      </c>
      <c r="N648" t="s">
        <v>1176</v>
      </c>
      <c r="O648">
        <v>3</v>
      </c>
      <c r="P648" t="s">
        <v>1215</v>
      </c>
    </row>
    <row r="649" spans="1:16" x14ac:dyDescent="0.3">
      <c r="A649" t="s">
        <v>10</v>
      </c>
      <c r="B649">
        <v>30166.93</v>
      </c>
      <c r="C649">
        <v>24658.45</v>
      </c>
      <c r="D649" s="1">
        <v>43798</v>
      </c>
      <c r="E649" t="s">
        <v>23</v>
      </c>
      <c r="F649" t="s">
        <v>229</v>
      </c>
      <c r="G649" t="s">
        <v>13</v>
      </c>
      <c r="H649" t="s">
        <v>14</v>
      </c>
      <c r="I649" t="s">
        <v>27</v>
      </c>
      <c r="J649" t="s">
        <v>807</v>
      </c>
      <c r="K649">
        <v>5508.48</v>
      </c>
      <c r="L649">
        <v>0.18259995299488499</v>
      </c>
      <c r="M649">
        <v>2019</v>
      </c>
      <c r="N649" t="s">
        <v>1180</v>
      </c>
      <c r="O649">
        <v>11</v>
      </c>
      <c r="P649" t="s">
        <v>1216</v>
      </c>
    </row>
    <row r="650" spans="1:16" x14ac:dyDescent="0.3">
      <c r="A650" t="s">
        <v>22</v>
      </c>
      <c r="B650">
        <v>253580.08</v>
      </c>
      <c r="C650">
        <v>212449.39</v>
      </c>
      <c r="D650" s="1">
        <v>43989</v>
      </c>
      <c r="E650" t="s">
        <v>11</v>
      </c>
      <c r="F650" t="s">
        <v>170</v>
      </c>
      <c r="G650" t="s">
        <v>25</v>
      </c>
      <c r="H650" t="s">
        <v>87</v>
      </c>
      <c r="I650" t="s">
        <v>27</v>
      </c>
      <c r="J650" t="s">
        <v>808</v>
      </c>
      <c r="K650">
        <v>41130.69</v>
      </c>
      <c r="L650">
        <v>0.162200004038172</v>
      </c>
      <c r="M650">
        <v>2020</v>
      </c>
      <c r="N650" t="s">
        <v>1179</v>
      </c>
      <c r="O650">
        <v>6</v>
      </c>
      <c r="P650" t="s">
        <v>1214</v>
      </c>
    </row>
    <row r="651" spans="1:16" x14ac:dyDescent="0.3">
      <c r="A651" t="s">
        <v>22</v>
      </c>
      <c r="B651">
        <v>57115.99</v>
      </c>
      <c r="C651">
        <v>48976.959999999999</v>
      </c>
      <c r="D651" s="1">
        <v>43551</v>
      </c>
      <c r="E651" t="s">
        <v>91</v>
      </c>
      <c r="F651" t="s">
        <v>809</v>
      </c>
      <c r="G651" t="s">
        <v>25</v>
      </c>
      <c r="H651" t="s">
        <v>52</v>
      </c>
      <c r="I651" t="s">
        <v>32</v>
      </c>
      <c r="J651" t="s">
        <v>810</v>
      </c>
      <c r="K651">
        <v>8139.03</v>
      </c>
      <c r="L651">
        <v>0.14250002494923</v>
      </c>
      <c r="M651">
        <v>2019</v>
      </c>
      <c r="N651" t="s">
        <v>1176</v>
      </c>
      <c r="O651">
        <v>3</v>
      </c>
      <c r="P651" t="s">
        <v>1215</v>
      </c>
    </row>
    <row r="652" spans="1:16" x14ac:dyDescent="0.3">
      <c r="A652" t="s">
        <v>66</v>
      </c>
      <c r="B652">
        <v>72002.259999999995</v>
      </c>
      <c r="C652">
        <v>56996.99</v>
      </c>
      <c r="D652" s="1">
        <v>43482</v>
      </c>
      <c r="E652" t="s">
        <v>23</v>
      </c>
      <c r="F652" t="s">
        <v>211</v>
      </c>
      <c r="G652" t="s">
        <v>68</v>
      </c>
      <c r="H652" t="s">
        <v>69</v>
      </c>
      <c r="I652" t="s">
        <v>27</v>
      </c>
      <c r="J652" t="s">
        <v>811</v>
      </c>
      <c r="K652">
        <v>15005.27</v>
      </c>
      <c r="L652">
        <v>0.208399986333762</v>
      </c>
      <c r="M652">
        <v>2019</v>
      </c>
      <c r="N652" t="s">
        <v>1177</v>
      </c>
      <c r="O652">
        <v>1</v>
      </c>
      <c r="P652" t="s">
        <v>1217</v>
      </c>
    </row>
    <row r="653" spans="1:16" x14ac:dyDescent="0.3">
      <c r="A653" t="s">
        <v>10</v>
      </c>
      <c r="B653">
        <v>255216</v>
      </c>
      <c r="C653">
        <v>211446.46</v>
      </c>
      <c r="D653" s="1">
        <v>43827</v>
      </c>
      <c r="E653" t="s">
        <v>40</v>
      </c>
      <c r="F653" t="s">
        <v>60</v>
      </c>
      <c r="G653" t="s">
        <v>13</v>
      </c>
      <c r="H653" t="s">
        <v>14</v>
      </c>
      <c r="I653" t="s">
        <v>27</v>
      </c>
      <c r="J653" t="s">
        <v>812</v>
      </c>
      <c r="K653">
        <v>43769.54</v>
      </c>
      <c r="L653">
        <v>0.171499984327001</v>
      </c>
      <c r="M653">
        <v>2019</v>
      </c>
      <c r="N653" t="s">
        <v>1182</v>
      </c>
      <c r="O653">
        <v>12</v>
      </c>
      <c r="P653" t="s">
        <v>1217</v>
      </c>
    </row>
    <row r="654" spans="1:16" x14ac:dyDescent="0.3">
      <c r="A654" t="s">
        <v>122</v>
      </c>
      <c r="B654">
        <v>42239.66</v>
      </c>
      <c r="C654">
        <v>37039.96</v>
      </c>
      <c r="D654" s="1">
        <v>43602</v>
      </c>
      <c r="E654" t="s">
        <v>51</v>
      </c>
      <c r="F654" t="s">
        <v>56</v>
      </c>
      <c r="G654" t="s">
        <v>123</v>
      </c>
      <c r="H654" t="s">
        <v>254</v>
      </c>
      <c r="I654" t="s">
        <v>27</v>
      </c>
      <c r="J654" t="s">
        <v>813</v>
      </c>
      <c r="K654">
        <v>5199.7</v>
      </c>
      <c r="L654">
        <v>0.123099949194667</v>
      </c>
      <c r="M654">
        <v>2019</v>
      </c>
      <c r="N654" t="s">
        <v>1173</v>
      </c>
      <c r="O654">
        <v>5</v>
      </c>
      <c r="P654" t="s">
        <v>1215</v>
      </c>
    </row>
    <row r="655" spans="1:16" x14ac:dyDescent="0.3">
      <c r="A655" t="s">
        <v>10</v>
      </c>
      <c r="B655">
        <v>139682.07</v>
      </c>
      <c r="C655">
        <v>113212.32</v>
      </c>
      <c r="D655" s="1">
        <v>43848</v>
      </c>
      <c r="E655" t="s">
        <v>11</v>
      </c>
      <c r="F655" t="s">
        <v>656</v>
      </c>
      <c r="G655" t="s">
        <v>13</v>
      </c>
      <c r="H655" t="s">
        <v>81</v>
      </c>
      <c r="I655" t="s">
        <v>27</v>
      </c>
      <c r="J655" t="s">
        <v>814</v>
      </c>
      <c r="K655">
        <v>26469.75</v>
      </c>
      <c r="L655">
        <v>0.189499983784605</v>
      </c>
      <c r="M655">
        <v>2020</v>
      </c>
      <c r="N655" t="s">
        <v>1177</v>
      </c>
      <c r="O655">
        <v>1</v>
      </c>
      <c r="P655" t="s">
        <v>1217</v>
      </c>
    </row>
    <row r="656" spans="1:16" x14ac:dyDescent="0.3">
      <c r="A656" t="s">
        <v>216</v>
      </c>
      <c r="B656">
        <v>105678.39</v>
      </c>
      <c r="C656">
        <v>89720.95</v>
      </c>
      <c r="D656" s="1">
        <v>44017</v>
      </c>
      <c r="E656" t="s">
        <v>11</v>
      </c>
      <c r="F656" t="s">
        <v>24</v>
      </c>
      <c r="G656" t="s">
        <v>217</v>
      </c>
      <c r="H656" t="s">
        <v>218</v>
      </c>
      <c r="I656" t="s">
        <v>32</v>
      </c>
      <c r="J656" t="s">
        <v>815</v>
      </c>
      <c r="K656">
        <v>15957.44</v>
      </c>
      <c r="L656">
        <v>0.151000029428912</v>
      </c>
      <c r="M656">
        <v>2020</v>
      </c>
      <c r="N656" t="s">
        <v>1174</v>
      </c>
      <c r="O656">
        <v>7</v>
      </c>
      <c r="P656" t="s">
        <v>1214</v>
      </c>
    </row>
    <row r="657" spans="1:16" x14ac:dyDescent="0.3">
      <c r="A657" t="s">
        <v>10</v>
      </c>
      <c r="B657">
        <v>85156.7</v>
      </c>
      <c r="C657">
        <v>69479.350000000006</v>
      </c>
      <c r="D657" s="1">
        <v>43970</v>
      </c>
      <c r="E657" t="s">
        <v>76</v>
      </c>
      <c r="F657" t="s">
        <v>312</v>
      </c>
      <c r="G657" t="s">
        <v>13</v>
      </c>
      <c r="H657" t="s">
        <v>110</v>
      </c>
      <c r="I657" t="s">
        <v>27</v>
      </c>
      <c r="J657" t="s">
        <v>816</v>
      </c>
      <c r="K657">
        <v>15677.35</v>
      </c>
      <c r="L657">
        <v>0.184100017966878</v>
      </c>
      <c r="M657">
        <v>2020</v>
      </c>
      <c r="N657" t="s">
        <v>1173</v>
      </c>
      <c r="O657">
        <v>5</v>
      </c>
      <c r="P657" t="s">
        <v>1215</v>
      </c>
    </row>
    <row r="658" spans="1:16" x14ac:dyDescent="0.3">
      <c r="A658" t="s">
        <v>513</v>
      </c>
      <c r="B658">
        <v>51090.76</v>
      </c>
      <c r="C658">
        <v>40739.769999999997</v>
      </c>
      <c r="D658" s="1">
        <v>44168</v>
      </c>
      <c r="E658" t="s">
        <v>29</v>
      </c>
      <c r="F658" t="s">
        <v>195</v>
      </c>
      <c r="G658" t="s">
        <v>514</v>
      </c>
      <c r="H658" t="s">
        <v>515</v>
      </c>
      <c r="I658" t="s">
        <v>27</v>
      </c>
      <c r="J658" t="s">
        <v>817</v>
      </c>
      <c r="K658">
        <v>10350.99</v>
      </c>
      <c r="L658">
        <v>0.202600039615774</v>
      </c>
      <c r="M658">
        <v>2020</v>
      </c>
      <c r="N658" t="s">
        <v>1182</v>
      </c>
      <c r="O658">
        <v>12</v>
      </c>
      <c r="P658" t="s">
        <v>1217</v>
      </c>
    </row>
    <row r="659" spans="1:16" x14ac:dyDescent="0.3">
      <c r="A659" t="s">
        <v>34</v>
      </c>
      <c r="B659">
        <v>308763.51</v>
      </c>
      <c r="C659">
        <v>245714</v>
      </c>
      <c r="D659" s="1">
        <v>43933</v>
      </c>
      <c r="E659" t="s">
        <v>181</v>
      </c>
      <c r="F659" t="s">
        <v>80</v>
      </c>
      <c r="G659" t="s">
        <v>36</v>
      </c>
      <c r="H659" t="s">
        <v>104</v>
      </c>
      <c r="I659" t="s">
        <v>27</v>
      </c>
      <c r="J659" t="s">
        <v>818</v>
      </c>
      <c r="K659">
        <v>63049.51</v>
      </c>
      <c r="L659">
        <v>0.20420000407431599</v>
      </c>
      <c r="M659">
        <v>2020</v>
      </c>
      <c r="N659" t="s">
        <v>1172</v>
      </c>
      <c r="O659">
        <v>4</v>
      </c>
      <c r="P659" t="s">
        <v>1215</v>
      </c>
    </row>
    <row r="660" spans="1:16" x14ac:dyDescent="0.3">
      <c r="A660" t="s">
        <v>216</v>
      </c>
      <c r="B660">
        <v>138249.76999999999</v>
      </c>
      <c r="C660">
        <v>120277.3</v>
      </c>
      <c r="D660" s="1">
        <v>43716</v>
      </c>
      <c r="E660" t="s">
        <v>11</v>
      </c>
      <c r="F660" t="s">
        <v>106</v>
      </c>
      <c r="G660" t="s">
        <v>217</v>
      </c>
      <c r="H660" t="s">
        <v>218</v>
      </c>
      <c r="I660" t="s">
        <v>27</v>
      </c>
      <c r="J660" t="s">
        <v>819</v>
      </c>
      <c r="K660">
        <v>17972.47</v>
      </c>
      <c r="L660">
        <v>0.129999999276672</v>
      </c>
      <c r="M660">
        <v>2019</v>
      </c>
      <c r="N660" t="s">
        <v>1175</v>
      </c>
      <c r="O660">
        <v>9</v>
      </c>
      <c r="P660" t="s">
        <v>1216</v>
      </c>
    </row>
    <row r="661" spans="1:16" x14ac:dyDescent="0.3">
      <c r="A661" t="s">
        <v>10</v>
      </c>
      <c r="B661">
        <v>42611.78</v>
      </c>
      <c r="C661">
        <v>35755.54</v>
      </c>
      <c r="D661" s="1">
        <v>44168</v>
      </c>
      <c r="E661" t="s">
        <v>40</v>
      </c>
      <c r="F661" t="s">
        <v>373</v>
      </c>
      <c r="G661" t="s">
        <v>13</v>
      </c>
      <c r="H661" t="s">
        <v>14</v>
      </c>
      <c r="I661" t="s">
        <v>32</v>
      </c>
      <c r="J661" t="s">
        <v>820</v>
      </c>
      <c r="K661">
        <v>6856.24</v>
      </c>
      <c r="L661">
        <v>0.16090010790443399</v>
      </c>
      <c r="M661">
        <v>2020</v>
      </c>
      <c r="N661" t="s">
        <v>1182</v>
      </c>
      <c r="O661">
        <v>12</v>
      </c>
      <c r="P661" t="s">
        <v>1217</v>
      </c>
    </row>
    <row r="662" spans="1:16" x14ac:dyDescent="0.3">
      <c r="A662" t="s">
        <v>17</v>
      </c>
      <c r="B662">
        <v>141436.98000000001</v>
      </c>
      <c r="C662">
        <v>114691.25</v>
      </c>
      <c r="D662" s="1">
        <v>43611</v>
      </c>
      <c r="E662" t="s">
        <v>181</v>
      </c>
      <c r="F662" t="s">
        <v>373</v>
      </c>
      <c r="G662" t="s">
        <v>19</v>
      </c>
      <c r="H662" t="s">
        <v>78</v>
      </c>
      <c r="I662" t="s">
        <v>27</v>
      </c>
      <c r="J662" t="s">
        <v>821</v>
      </c>
      <c r="K662">
        <v>26745.73</v>
      </c>
      <c r="L662">
        <v>0.18909997936890299</v>
      </c>
      <c r="M662">
        <v>2019</v>
      </c>
      <c r="N662" t="s">
        <v>1173</v>
      </c>
      <c r="O662">
        <v>5</v>
      </c>
      <c r="P662" t="s">
        <v>1215</v>
      </c>
    </row>
    <row r="663" spans="1:16" x14ac:dyDescent="0.3">
      <c r="A663" t="s">
        <v>22</v>
      </c>
      <c r="B663">
        <v>41016.31</v>
      </c>
      <c r="C663">
        <v>32985.32</v>
      </c>
      <c r="D663" s="1">
        <v>43713</v>
      </c>
      <c r="E663" t="s">
        <v>76</v>
      </c>
      <c r="F663" t="s">
        <v>189</v>
      </c>
      <c r="G663" t="s">
        <v>25</v>
      </c>
      <c r="H663" t="s">
        <v>26</v>
      </c>
      <c r="I663" t="s">
        <v>15</v>
      </c>
      <c r="J663" t="s">
        <v>822</v>
      </c>
      <c r="K663">
        <v>8030.99</v>
      </c>
      <c r="L663">
        <v>0.19579991471685301</v>
      </c>
      <c r="M663">
        <v>2019</v>
      </c>
      <c r="N663" t="s">
        <v>1175</v>
      </c>
      <c r="O663">
        <v>9</v>
      </c>
      <c r="P663" t="s">
        <v>1216</v>
      </c>
    </row>
    <row r="664" spans="1:16" x14ac:dyDescent="0.3">
      <c r="A664" t="s">
        <v>22</v>
      </c>
      <c r="B664">
        <v>144237.38</v>
      </c>
      <c r="C664">
        <v>116111.09</v>
      </c>
      <c r="D664" s="1">
        <v>43962</v>
      </c>
      <c r="E664" t="s">
        <v>91</v>
      </c>
      <c r="F664" t="s">
        <v>56</v>
      </c>
      <c r="G664" t="s">
        <v>25</v>
      </c>
      <c r="H664" t="s">
        <v>63</v>
      </c>
      <c r="I664" t="s">
        <v>27</v>
      </c>
      <c r="J664" t="s">
        <v>823</v>
      </c>
      <c r="K664">
        <v>28126.29</v>
      </c>
      <c r="L664">
        <v>0.195000006239714</v>
      </c>
      <c r="M664">
        <v>2020</v>
      </c>
      <c r="N664" t="s">
        <v>1173</v>
      </c>
      <c r="O664">
        <v>5</v>
      </c>
      <c r="P664" t="s">
        <v>1215</v>
      </c>
    </row>
    <row r="665" spans="1:16" x14ac:dyDescent="0.3">
      <c r="A665" t="s">
        <v>10</v>
      </c>
      <c r="B665">
        <v>91350.76</v>
      </c>
      <c r="C665">
        <v>75839.399999999994</v>
      </c>
      <c r="D665" s="1">
        <v>43557</v>
      </c>
      <c r="E665" t="s">
        <v>11</v>
      </c>
      <c r="F665" t="s">
        <v>133</v>
      </c>
      <c r="G665" t="s">
        <v>13</v>
      </c>
      <c r="H665" t="s">
        <v>46</v>
      </c>
      <c r="I665" t="s">
        <v>27</v>
      </c>
      <c r="J665" t="s">
        <v>824</v>
      </c>
      <c r="K665">
        <v>15511.36</v>
      </c>
      <c r="L665">
        <v>0.169800010421369</v>
      </c>
      <c r="M665">
        <v>2019</v>
      </c>
      <c r="N665" t="s">
        <v>1172</v>
      </c>
      <c r="O665">
        <v>4</v>
      </c>
      <c r="P665" t="s">
        <v>1215</v>
      </c>
    </row>
    <row r="666" spans="1:16" x14ac:dyDescent="0.3">
      <c r="A666" t="s">
        <v>169</v>
      </c>
      <c r="B666">
        <v>31936.44</v>
      </c>
      <c r="C666">
        <v>27708.06</v>
      </c>
      <c r="D666" s="1">
        <v>44091</v>
      </c>
      <c r="E666" t="s">
        <v>91</v>
      </c>
      <c r="F666" t="s">
        <v>302</v>
      </c>
      <c r="G666" t="s">
        <v>171</v>
      </c>
      <c r="H666" t="s">
        <v>298</v>
      </c>
      <c r="I666" t="s">
        <v>27</v>
      </c>
      <c r="J666" t="s">
        <v>825</v>
      </c>
      <c r="K666">
        <v>4228.38</v>
      </c>
      <c r="L666">
        <v>0.13239985421042499</v>
      </c>
      <c r="M666">
        <v>2020</v>
      </c>
      <c r="N666" t="s">
        <v>1175</v>
      </c>
      <c r="O666">
        <v>9</v>
      </c>
      <c r="P666" t="s">
        <v>1216</v>
      </c>
    </row>
    <row r="667" spans="1:16" x14ac:dyDescent="0.3">
      <c r="A667" t="s">
        <v>17</v>
      </c>
      <c r="B667">
        <v>79205.19</v>
      </c>
      <c r="C667">
        <v>65423.49</v>
      </c>
      <c r="D667" s="1">
        <v>43651</v>
      </c>
      <c r="E667" t="s">
        <v>11</v>
      </c>
      <c r="F667" t="s">
        <v>222</v>
      </c>
      <c r="G667" t="s">
        <v>19</v>
      </c>
      <c r="H667" t="s">
        <v>49</v>
      </c>
      <c r="I667" t="s">
        <v>15</v>
      </c>
      <c r="J667" t="s">
        <v>826</v>
      </c>
      <c r="K667">
        <v>13781.7</v>
      </c>
      <c r="L667">
        <v>0.17399996136616799</v>
      </c>
      <c r="M667">
        <v>2019</v>
      </c>
      <c r="N667" t="s">
        <v>1174</v>
      </c>
      <c r="O667">
        <v>7</v>
      </c>
      <c r="P667" t="s">
        <v>1214</v>
      </c>
    </row>
    <row r="668" spans="1:16" x14ac:dyDescent="0.3">
      <c r="A668" t="s">
        <v>17</v>
      </c>
      <c r="B668">
        <v>111462.88</v>
      </c>
      <c r="C668">
        <v>94130.4</v>
      </c>
      <c r="D668" s="1">
        <v>43899</v>
      </c>
      <c r="E668" t="s">
        <v>181</v>
      </c>
      <c r="F668" t="s">
        <v>45</v>
      </c>
      <c r="G668" t="s">
        <v>19</v>
      </c>
      <c r="H668" t="s">
        <v>49</v>
      </c>
      <c r="I668" t="s">
        <v>15</v>
      </c>
      <c r="J668" t="s">
        <v>827</v>
      </c>
      <c r="K668">
        <v>17332.48</v>
      </c>
      <c r="L668">
        <v>0.15550001937864899</v>
      </c>
      <c r="M668">
        <v>2020</v>
      </c>
      <c r="N668" t="s">
        <v>1176</v>
      </c>
      <c r="O668">
        <v>3</v>
      </c>
      <c r="P668" t="s">
        <v>1215</v>
      </c>
    </row>
    <row r="669" spans="1:16" x14ac:dyDescent="0.3">
      <c r="A669" t="s">
        <v>17</v>
      </c>
      <c r="B669">
        <v>85220.83</v>
      </c>
      <c r="C669">
        <v>73767.149999999994</v>
      </c>
      <c r="D669" s="1">
        <v>43723</v>
      </c>
      <c r="E669" t="s">
        <v>76</v>
      </c>
      <c r="F669" t="s">
        <v>86</v>
      </c>
      <c r="G669" t="s">
        <v>19</v>
      </c>
      <c r="H669" t="s">
        <v>31</v>
      </c>
      <c r="I669" t="s">
        <v>15</v>
      </c>
      <c r="J669" t="s">
        <v>828</v>
      </c>
      <c r="K669">
        <v>11453.68</v>
      </c>
      <c r="L669">
        <v>0.13440000525693099</v>
      </c>
      <c r="M669">
        <v>2019</v>
      </c>
      <c r="N669" t="s">
        <v>1175</v>
      </c>
      <c r="O669">
        <v>9</v>
      </c>
      <c r="P669" t="s">
        <v>1216</v>
      </c>
    </row>
    <row r="670" spans="1:16" x14ac:dyDescent="0.3">
      <c r="A670" t="s">
        <v>10</v>
      </c>
      <c r="B670">
        <v>89639.28</v>
      </c>
      <c r="C670">
        <v>77788.97</v>
      </c>
      <c r="D670" s="1">
        <v>43490</v>
      </c>
      <c r="E670" t="s">
        <v>40</v>
      </c>
      <c r="F670" t="s">
        <v>97</v>
      </c>
      <c r="G670" t="s">
        <v>13</v>
      </c>
      <c r="H670" t="s">
        <v>72</v>
      </c>
      <c r="I670" t="s">
        <v>27</v>
      </c>
      <c r="J670" t="s">
        <v>829</v>
      </c>
      <c r="K670">
        <v>11850.31</v>
      </c>
      <c r="L670">
        <v>0.132199968585201</v>
      </c>
      <c r="M670">
        <v>2019</v>
      </c>
      <c r="N670" t="s">
        <v>1177</v>
      </c>
      <c r="O670">
        <v>1</v>
      </c>
      <c r="P670" t="s">
        <v>1217</v>
      </c>
    </row>
    <row r="671" spans="1:16" x14ac:dyDescent="0.3">
      <c r="A671" t="s">
        <v>22</v>
      </c>
      <c r="B671">
        <v>116556.81</v>
      </c>
      <c r="C671">
        <v>95448.37</v>
      </c>
      <c r="D671" s="1">
        <v>43975</v>
      </c>
      <c r="E671" t="s">
        <v>181</v>
      </c>
      <c r="F671" t="s">
        <v>285</v>
      </c>
      <c r="G671" t="s">
        <v>25</v>
      </c>
      <c r="H671" t="s">
        <v>63</v>
      </c>
      <c r="I671" t="s">
        <v>27</v>
      </c>
      <c r="J671" t="s">
        <v>830</v>
      </c>
      <c r="K671">
        <v>21108.44</v>
      </c>
      <c r="L671">
        <v>0.18110001466237799</v>
      </c>
      <c r="M671">
        <v>2020</v>
      </c>
      <c r="N671" t="s">
        <v>1173</v>
      </c>
      <c r="O671">
        <v>5</v>
      </c>
      <c r="P671" t="s">
        <v>1215</v>
      </c>
    </row>
    <row r="672" spans="1:16" x14ac:dyDescent="0.3">
      <c r="A672" t="s">
        <v>22</v>
      </c>
      <c r="B672">
        <v>179184.12</v>
      </c>
      <c r="C672">
        <v>142433.46</v>
      </c>
      <c r="D672" s="1">
        <v>44048</v>
      </c>
      <c r="E672" t="s">
        <v>23</v>
      </c>
      <c r="F672" t="s">
        <v>71</v>
      </c>
      <c r="G672" t="s">
        <v>25</v>
      </c>
      <c r="H672" t="s">
        <v>87</v>
      </c>
      <c r="I672" t="s">
        <v>27</v>
      </c>
      <c r="J672" t="s">
        <v>831</v>
      </c>
      <c r="K672">
        <v>36750.660000000003</v>
      </c>
      <c r="L672">
        <v>0.20509998319047501</v>
      </c>
      <c r="M672">
        <v>2020</v>
      </c>
      <c r="N672" t="s">
        <v>1171</v>
      </c>
      <c r="O672">
        <v>8</v>
      </c>
      <c r="P672" t="s">
        <v>1214</v>
      </c>
    </row>
    <row r="673" spans="1:16" x14ac:dyDescent="0.3">
      <c r="A673" t="s">
        <v>129</v>
      </c>
      <c r="B673">
        <v>55882.12</v>
      </c>
      <c r="C673">
        <v>48561.56</v>
      </c>
      <c r="D673" s="1">
        <v>43971</v>
      </c>
      <c r="E673" t="s">
        <v>40</v>
      </c>
      <c r="F673" t="s">
        <v>300</v>
      </c>
      <c r="G673" t="s">
        <v>130</v>
      </c>
      <c r="H673" t="s">
        <v>131</v>
      </c>
      <c r="I673" t="s">
        <v>27</v>
      </c>
      <c r="J673" t="s">
        <v>832</v>
      </c>
      <c r="K673">
        <v>7320.56</v>
      </c>
      <c r="L673">
        <v>0.13100004080017</v>
      </c>
      <c r="M673">
        <v>2020</v>
      </c>
      <c r="N673" t="s">
        <v>1173</v>
      </c>
      <c r="O673">
        <v>5</v>
      </c>
      <c r="P673" t="s">
        <v>1215</v>
      </c>
    </row>
    <row r="674" spans="1:16" x14ac:dyDescent="0.3">
      <c r="A674" t="s">
        <v>143</v>
      </c>
      <c r="B674">
        <v>68288.679999999993</v>
      </c>
      <c r="C674">
        <v>56754.720000000001</v>
      </c>
      <c r="D674" s="1">
        <v>44101</v>
      </c>
      <c r="E674" t="s">
        <v>76</v>
      </c>
      <c r="F674" t="s">
        <v>56</v>
      </c>
      <c r="G674" t="s">
        <v>145</v>
      </c>
      <c r="H674" t="s">
        <v>206</v>
      </c>
      <c r="I674" t="s">
        <v>27</v>
      </c>
      <c r="J674" t="s">
        <v>833</v>
      </c>
      <c r="K674">
        <v>11533.96</v>
      </c>
      <c r="L674">
        <v>0.16890002852595801</v>
      </c>
      <c r="M674">
        <v>2020</v>
      </c>
      <c r="N674" t="s">
        <v>1175</v>
      </c>
      <c r="O674">
        <v>9</v>
      </c>
      <c r="P674" t="s">
        <v>1216</v>
      </c>
    </row>
    <row r="675" spans="1:16" x14ac:dyDescent="0.3">
      <c r="A675" t="s">
        <v>10</v>
      </c>
      <c r="B675">
        <v>102299.92</v>
      </c>
      <c r="C675">
        <v>81706.95</v>
      </c>
      <c r="D675" s="1">
        <v>43699</v>
      </c>
      <c r="E675" t="s">
        <v>76</v>
      </c>
      <c r="F675" t="s">
        <v>149</v>
      </c>
      <c r="G675" t="s">
        <v>13</v>
      </c>
      <c r="H675" t="s">
        <v>46</v>
      </c>
      <c r="I675" t="s">
        <v>27</v>
      </c>
      <c r="J675" t="s">
        <v>834</v>
      </c>
      <c r="K675">
        <v>20592.97</v>
      </c>
      <c r="L675">
        <v>0.20129996191590399</v>
      </c>
      <c r="M675">
        <v>2019</v>
      </c>
      <c r="N675" t="s">
        <v>1171</v>
      </c>
      <c r="O675">
        <v>8</v>
      </c>
      <c r="P675" t="s">
        <v>1214</v>
      </c>
    </row>
    <row r="676" spans="1:16" x14ac:dyDescent="0.3">
      <c r="A676" t="s">
        <v>17</v>
      </c>
      <c r="B676">
        <v>264149.90999999997</v>
      </c>
      <c r="C676">
        <v>208757.67</v>
      </c>
      <c r="D676" s="1">
        <v>44185</v>
      </c>
      <c r="E676" t="s">
        <v>51</v>
      </c>
      <c r="F676" t="s">
        <v>308</v>
      </c>
      <c r="G676" t="s">
        <v>19</v>
      </c>
      <c r="H676" t="s">
        <v>49</v>
      </c>
      <c r="I676" t="s">
        <v>27</v>
      </c>
      <c r="J676" t="s">
        <v>835</v>
      </c>
      <c r="K676">
        <v>55392.24</v>
      </c>
      <c r="L676">
        <v>0.20970001466212901</v>
      </c>
      <c r="M676">
        <v>2020</v>
      </c>
      <c r="N676" t="s">
        <v>1182</v>
      </c>
      <c r="O676">
        <v>12</v>
      </c>
      <c r="P676" t="s">
        <v>1217</v>
      </c>
    </row>
    <row r="677" spans="1:16" x14ac:dyDescent="0.3">
      <c r="A677" t="s">
        <v>216</v>
      </c>
      <c r="B677">
        <v>54566.99</v>
      </c>
      <c r="C677">
        <v>43757.27</v>
      </c>
      <c r="D677" s="1">
        <v>43913</v>
      </c>
      <c r="E677" t="s">
        <v>51</v>
      </c>
      <c r="F677" t="s">
        <v>74</v>
      </c>
      <c r="G677" t="s">
        <v>217</v>
      </c>
      <c r="H677" t="s">
        <v>218</v>
      </c>
      <c r="I677" t="s">
        <v>27</v>
      </c>
      <c r="J677" t="s">
        <v>836</v>
      </c>
      <c r="K677">
        <v>10809.72</v>
      </c>
      <c r="L677">
        <v>0.198099986823536</v>
      </c>
      <c r="M677">
        <v>2020</v>
      </c>
      <c r="N677" t="s">
        <v>1176</v>
      </c>
      <c r="O677">
        <v>3</v>
      </c>
      <c r="P677" t="s">
        <v>1215</v>
      </c>
    </row>
    <row r="678" spans="1:16" x14ac:dyDescent="0.3">
      <c r="A678" t="s">
        <v>22</v>
      </c>
      <c r="B678">
        <v>242192.19</v>
      </c>
      <c r="C678">
        <v>213104.91</v>
      </c>
      <c r="D678" s="1">
        <v>43503</v>
      </c>
      <c r="E678" t="s">
        <v>55</v>
      </c>
      <c r="F678" t="s">
        <v>156</v>
      </c>
      <c r="G678" t="s">
        <v>25</v>
      </c>
      <c r="H678" t="s">
        <v>167</v>
      </c>
      <c r="I678" t="s">
        <v>27</v>
      </c>
      <c r="J678" t="s">
        <v>837</v>
      </c>
      <c r="K678">
        <v>29087.279999999999</v>
      </c>
      <c r="L678">
        <v>0.120099991663645</v>
      </c>
      <c r="M678">
        <v>2019</v>
      </c>
      <c r="N678" t="s">
        <v>1181</v>
      </c>
      <c r="O678">
        <v>2</v>
      </c>
      <c r="P678" t="s">
        <v>1217</v>
      </c>
    </row>
    <row r="679" spans="1:16" x14ac:dyDescent="0.3">
      <c r="A679" t="s">
        <v>22</v>
      </c>
      <c r="B679">
        <v>74364.460000000006</v>
      </c>
      <c r="C679">
        <v>60145.98</v>
      </c>
      <c r="D679" s="1">
        <v>43851</v>
      </c>
      <c r="E679" t="s">
        <v>40</v>
      </c>
      <c r="F679" t="s">
        <v>97</v>
      </c>
      <c r="G679" t="s">
        <v>25</v>
      </c>
      <c r="H679" t="s">
        <v>52</v>
      </c>
      <c r="I679" t="s">
        <v>32</v>
      </c>
      <c r="J679" t="s">
        <v>838</v>
      </c>
      <c r="K679">
        <v>14218.48</v>
      </c>
      <c r="L679">
        <v>0.191199936098507</v>
      </c>
      <c r="M679">
        <v>2020</v>
      </c>
      <c r="N679" t="s">
        <v>1177</v>
      </c>
      <c r="O679">
        <v>1</v>
      </c>
      <c r="P679" t="s">
        <v>1217</v>
      </c>
    </row>
    <row r="680" spans="1:16" x14ac:dyDescent="0.3">
      <c r="A680" t="s">
        <v>22</v>
      </c>
      <c r="B680">
        <v>164117.24</v>
      </c>
      <c r="C680">
        <v>133509.37</v>
      </c>
      <c r="D680" s="1">
        <v>43979</v>
      </c>
      <c r="E680" t="s">
        <v>29</v>
      </c>
      <c r="F680" t="s">
        <v>109</v>
      </c>
      <c r="G680" t="s">
        <v>25</v>
      </c>
      <c r="H680" t="s">
        <v>26</v>
      </c>
      <c r="I680" t="s">
        <v>27</v>
      </c>
      <c r="J680" t="s">
        <v>839</v>
      </c>
      <c r="K680">
        <v>30607.87</v>
      </c>
      <c r="L680">
        <v>0.18650002888179201</v>
      </c>
      <c r="M680">
        <v>2020</v>
      </c>
      <c r="N680" t="s">
        <v>1173</v>
      </c>
      <c r="O680">
        <v>5</v>
      </c>
      <c r="P680" t="s">
        <v>1215</v>
      </c>
    </row>
    <row r="681" spans="1:16" x14ac:dyDescent="0.3">
      <c r="A681" t="s">
        <v>10</v>
      </c>
      <c r="B681">
        <v>40831.519999999997</v>
      </c>
      <c r="C681">
        <v>34192.31</v>
      </c>
      <c r="D681" s="1">
        <v>43581</v>
      </c>
      <c r="E681" t="s">
        <v>23</v>
      </c>
      <c r="F681" t="s">
        <v>41</v>
      </c>
      <c r="G681" t="s">
        <v>13</v>
      </c>
      <c r="H681" t="s">
        <v>72</v>
      </c>
      <c r="I681" t="s">
        <v>27</v>
      </c>
      <c r="J681" t="s">
        <v>840</v>
      </c>
      <c r="K681">
        <v>6639.21</v>
      </c>
      <c r="L681">
        <v>0.162600118731803</v>
      </c>
      <c r="M681">
        <v>2019</v>
      </c>
      <c r="N681" t="s">
        <v>1172</v>
      </c>
      <c r="O681">
        <v>4</v>
      </c>
      <c r="P681" t="s">
        <v>1215</v>
      </c>
    </row>
    <row r="682" spans="1:16" x14ac:dyDescent="0.3">
      <c r="A682" t="s">
        <v>143</v>
      </c>
      <c r="B682">
        <v>178763.42</v>
      </c>
      <c r="C682">
        <v>146621.76000000001</v>
      </c>
      <c r="D682" s="1">
        <v>43821</v>
      </c>
      <c r="E682" t="s">
        <v>11</v>
      </c>
      <c r="F682" t="s">
        <v>56</v>
      </c>
      <c r="G682" t="s">
        <v>145</v>
      </c>
      <c r="H682" t="s">
        <v>206</v>
      </c>
      <c r="I682" t="s">
        <v>15</v>
      </c>
      <c r="J682" t="s">
        <v>841</v>
      </c>
      <c r="K682">
        <v>32141.66</v>
      </c>
      <c r="L682">
        <v>0.17979998368793801</v>
      </c>
      <c r="M682">
        <v>2019</v>
      </c>
      <c r="N682" t="s">
        <v>1182</v>
      </c>
      <c r="O682">
        <v>12</v>
      </c>
      <c r="P682" t="s">
        <v>1217</v>
      </c>
    </row>
    <row r="683" spans="1:16" x14ac:dyDescent="0.3">
      <c r="A683" t="s">
        <v>122</v>
      </c>
      <c r="B683">
        <v>152231.85999999999</v>
      </c>
      <c r="C683">
        <v>122303.08</v>
      </c>
      <c r="D683" s="1">
        <v>43682</v>
      </c>
      <c r="E683" t="s">
        <v>51</v>
      </c>
      <c r="F683" t="s">
        <v>195</v>
      </c>
      <c r="G683" t="s">
        <v>123</v>
      </c>
      <c r="H683" t="s">
        <v>254</v>
      </c>
      <c r="I683" t="s">
        <v>27</v>
      </c>
      <c r="J683" t="s">
        <v>842</v>
      </c>
      <c r="K683">
        <v>29928.78</v>
      </c>
      <c r="L683">
        <v>0.19659997585262401</v>
      </c>
      <c r="M683">
        <v>2019</v>
      </c>
      <c r="N683" t="s">
        <v>1171</v>
      </c>
      <c r="O683">
        <v>8</v>
      </c>
      <c r="P683" t="s">
        <v>1214</v>
      </c>
    </row>
    <row r="684" spans="1:16" x14ac:dyDescent="0.3">
      <c r="A684" t="s">
        <v>34</v>
      </c>
      <c r="B684">
        <v>96358.45</v>
      </c>
      <c r="C684">
        <v>80700.2</v>
      </c>
      <c r="D684" s="1">
        <v>43805</v>
      </c>
      <c r="E684" t="s">
        <v>181</v>
      </c>
      <c r="F684" t="s">
        <v>415</v>
      </c>
      <c r="G684" t="s">
        <v>36</v>
      </c>
      <c r="H684" t="s">
        <v>37</v>
      </c>
      <c r="I684" t="s">
        <v>27</v>
      </c>
      <c r="J684" t="s">
        <v>843</v>
      </c>
      <c r="K684">
        <v>15658.25</v>
      </c>
      <c r="L684">
        <v>0.16250001945859399</v>
      </c>
      <c r="M684">
        <v>2019</v>
      </c>
      <c r="N684" t="s">
        <v>1182</v>
      </c>
      <c r="O684">
        <v>12</v>
      </c>
      <c r="P684" t="s">
        <v>1217</v>
      </c>
    </row>
    <row r="685" spans="1:16" x14ac:dyDescent="0.3">
      <c r="A685" t="s">
        <v>17</v>
      </c>
      <c r="B685">
        <v>116328.75</v>
      </c>
      <c r="C685">
        <v>93365.45</v>
      </c>
      <c r="D685" s="1">
        <v>43735</v>
      </c>
      <c r="E685" t="s">
        <v>23</v>
      </c>
      <c r="F685" t="s">
        <v>156</v>
      </c>
      <c r="G685" t="s">
        <v>19</v>
      </c>
      <c r="H685" t="s">
        <v>31</v>
      </c>
      <c r="I685" t="s">
        <v>27</v>
      </c>
      <c r="J685" t="s">
        <v>844</v>
      </c>
      <c r="K685">
        <v>22963.3</v>
      </c>
      <c r="L685">
        <v>0.197400040832554</v>
      </c>
      <c r="M685">
        <v>2019</v>
      </c>
      <c r="N685" t="s">
        <v>1175</v>
      </c>
      <c r="O685">
        <v>9</v>
      </c>
      <c r="P685" t="s">
        <v>1216</v>
      </c>
    </row>
    <row r="686" spans="1:16" x14ac:dyDescent="0.3">
      <c r="A686" t="s">
        <v>22</v>
      </c>
      <c r="B686">
        <v>79288.03</v>
      </c>
      <c r="C686">
        <v>68536.570000000007</v>
      </c>
      <c r="D686" s="1">
        <v>43684</v>
      </c>
      <c r="E686" t="s">
        <v>40</v>
      </c>
      <c r="F686" t="s">
        <v>56</v>
      </c>
      <c r="G686" t="s">
        <v>25</v>
      </c>
      <c r="H686" t="s">
        <v>63</v>
      </c>
      <c r="I686" t="s">
        <v>27</v>
      </c>
      <c r="J686" t="s">
        <v>845</v>
      </c>
      <c r="K686">
        <v>10751.46</v>
      </c>
      <c r="L686">
        <v>0.135600039501549</v>
      </c>
      <c r="M686">
        <v>2019</v>
      </c>
      <c r="N686" t="s">
        <v>1171</v>
      </c>
      <c r="O686">
        <v>8</v>
      </c>
      <c r="P686" t="s">
        <v>1214</v>
      </c>
    </row>
    <row r="687" spans="1:16" x14ac:dyDescent="0.3">
      <c r="A687" t="s">
        <v>34</v>
      </c>
      <c r="B687">
        <v>50374.22</v>
      </c>
      <c r="C687">
        <v>44047.22</v>
      </c>
      <c r="D687" s="1">
        <v>43656</v>
      </c>
      <c r="E687" t="s">
        <v>11</v>
      </c>
      <c r="F687" t="s">
        <v>126</v>
      </c>
      <c r="G687" t="s">
        <v>36</v>
      </c>
      <c r="H687" t="s">
        <v>37</v>
      </c>
      <c r="I687" t="s">
        <v>27</v>
      </c>
      <c r="J687" t="s">
        <v>846</v>
      </c>
      <c r="K687">
        <v>6327</v>
      </c>
      <c r="L687">
        <v>0.12559995966190601</v>
      </c>
      <c r="M687">
        <v>2019</v>
      </c>
      <c r="N687" t="s">
        <v>1174</v>
      </c>
      <c r="O687">
        <v>7</v>
      </c>
      <c r="P687" t="s">
        <v>1214</v>
      </c>
    </row>
    <row r="688" spans="1:16" x14ac:dyDescent="0.3">
      <c r="A688" t="s">
        <v>151</v>
      </c>
      <c r="B688">
        <v>135344.51999999999</v>
      </c>
      <c r="C688">
        <v>117492.58</v>
      </c>
      <c r="D688" s="1">
        <v>43482</v>
      </c>
      <c r="E688" t="s">
        <v>11</v>
      </c>
      <c r="F688" t="s">
        <v>133</v>
      </c>
      <c r="G688" t="s">
        <v>152</v>
      </c>
      <c r="H688" t="s">
        <v>153</v>
      </c>
      <c r="I688" t="s">
        <v>27</v>
      </c>
      <c r="J688" t="s">
        <v>847</v>
      </c>
      <c r="K688">
        <v>17851.939999999999</v>
      </c>
      <c r="L688">
        <v>0.13189998383384899</v>
      </c>
      <c r="M688">
        <v>2019</v>
      </c>
      <c r="N688" t="s">
        <v>1177</v>
      </c>
      <c r="O688">
        <v>1</v>
      </c>
      <c r="P688" t="s">
        <v>1217</v>
      </c>
    </row>
    <row r="689" spans="1:16" x14ac:dyDescent="0.3">
      <c r="A689" t="s">
        <v>22</v>
      </c>
      <c r="B689">
        <v>112481.44</v>
      </c>
      <c r="C689">
        <v>96700.29</v>
      </c>
      <c r="D689" s="1">
        <v>44139</v>
      </c>
      <c r="E689" t="s">
        <v>29</v>
      </c>
      <c r="F689" t="s">
        <v>92</v>
      </c>
      <c r="G689" t="s">
        <v>25</v>
      </c>
      <c r="H689" t="s">
        <v>63</v>
      </c>
      <c r="I689" t="s">
        <v>32</v>
      </c>
      <c r="J689" t="s">
        <v>848</v>
      </c>
      <c r="K689">
        <v>15781.15</v>
      </c>
      <c r="L689">
        <v>0.140300035276931</v>
      </c>
      <c r="M689">
        <v>2020</v>
      </c>
      <c r="N689" t="s">
        <v>1180</v>
      </c>
      <c r="O689">
        <v>11</v>
      </c>
      <c r="P689" t="s">
        <v>1216</v>
      </c>
    </row>
    <row r="690" spans="1:16" x14ac:dyDescent="0.3">
      <c r="A690" t="s">
        <v>129</v>
      </c>
      <c r="B690">
        <v>41675.01</v>
      </c>
      <c r="C690">
        <v>33765.089999999997</v>
      </c>
      <c r="D690" s="1">
        <v>43641</v>
      </c>
      <c r="E690" t="s">
        <v>76</v>
      </c>
      <c r="F690" t="s">
        <v>71</v>
      </c>
      <c r="G690" t="s">
        <v>130</v>
      </c>
      <c r="H690" t="s">
        <v>159</v>
      </c>
      <c r="I690" t="s">
        <v>27</v>
      </c>
      <c r="J690" t="s">
        <v>849</v>
      </c>
      <c r="K690">
        <v>7909.92</v>
      </c>
      <c r="L690">
        <v>0.18980007443309599</v>
      </c>
      <c r="M690">
        <v>2019</v>
      </c>
      <c r="N690" t="s">
        <v>1179</v>
      </c>
      <c r="O690">
        <v>6</v>
      </c>
      <c r="P690" t="s">
        <v>1214</v>
      </c>
    </row>
    <row r="691" spans="1:16" x14ac:dyDescent="0.3">
      <c r="A691" t="s">
        <v>17</v>
      </c>
      <c r="B691">
        <v>173418.59</v>
      </c>
      <c r="C691">
        <v>140746.53</v>
      </c>
      <c r="D691" s="1">
        <v>43604</v>
      </c>
      <c r="E691" t="s">
        <v>29</v>
      </c>
      <c r="F691" t="s">
        <v>106</v>
      </c>
      <c r="G691" t="s">
        <v>19</v>
      </c>
      <c r="H691" t="s">
        <v>78</v>
      </c>
      <c r="I691" t="s">
        <v>27</v>
      </c>
      <c r="J691" t="s">
        <v>850</v>
      </c>
      <c r="K691">
        <v>32672.06</v>
      </c>
      <c r="L691">
        <v>0.188399986414375</v>
      </c>
      <c r="M691">
        <v>2019</v>
      </c>
      <c r="N691" t="s">
        <v>1173</v>
      </c>
      <c r="O691">
        <v>5</v>
      </c>
      <c r="P691" t="s">
        <v>1215</v>
      </c>
    </row>
    <row r="692" spans="1:16" x14ac:dyDescent="0.3">
      <c r="A692" t="s">
        <v>34</v>
      </c>
      <c r="B692">
        <v>146076.81</v>
      </c>
      <c r="C692">
        <v>123230.39999999999</v>
      </c>
      <c r="D692" s="1">
        <v>43673</v>
      </c>
      <c r="E692" t="s">
        <v>23</v>
      </c>
      <c r="F692" t="s">
        <v>56</v>
      </c>
      <c r="G692" t="s">
        <v>36</v>
      </c>
      <c r="H692" t="s">
        <v>37</v>
      </c>
      <c r="I692" t="s">
        <v>27</v>
      </c>
      <c r="J692" t="s">
        <v>851</v>
      </c>
      <c r="K692">
        <v>22846.41</v>
      </c>
      <c r="L692">
        <v>0.15639997888781901</v>
      </c>
      <c r="M692">
        <v>2019</v>
      </c>
      <c r="N692" t="s">
        <v>1174</v>
      </c>
      <c r="O692">
        <v>7</v>
      </c>
      <c r="P692" t="s">
        <v>1214</v>
      </c>
    </row>
    <row r="693" spans="1:16" x14ac:dyDescent="0.3">
      <c r="A693" t="s">
        <v>10</v>
      </c>
      <c r="B693">
        <v>179179.73</v>
      </c>
      <c r="C693">
        <v>154936.71</v>
      </c>
      <c r="D693" s="1">
        <v>43760</v>
      </c>
      <c r="E693" t="s">
        <v>91</v>
      </c>
      <c r="F693" t="s">
        <v>109</v>
      </c>
      <c r="G693" t="s">
        <v>13</v>
      </c>
      <c r="H693" t="s">
        <v>81</v>
      </c>
      <c r="I693" t="s">
        <v>27</v>
      </c>
      <c r="J693" t="s">
        <v>852</v>
      </c>
      <c r="K693">
        <v>24243.02</v>
      </c>
      <c r="L693">
        <v>0.13530001412548201</v>
      </c>
      <c r="M693">
        <v>2019</v>
      </c>
      <c r="N693" t="s">
        <v>1178</v>
      </c>
      <c r="O693">
        <v>10</v>
      </c>
      <c r="P693" t="s">
        <v>1216</v>
      </c>
    </row>
    <row r="694" spans="1:16" x14ac:dyDescent="0.3">
      <c r="A694" t="s">
        <v>22</v>
      </c>
      <c r="B694">
        <v>126021.1</v>
      </c>
      <c r="C694">
        <v>101762.04</v>
      </c>
      <c r="D694" s="1">
        <v>43995</v>
      </c>
      <c r="E694" t="s">
        <v>76</v>
      </c>
      <c r="F694" t="s">
        <v>56</v>
      </c>
      <c r="G694" t="s">
        <v>25</v>
      </c>
      <c r="H694" t="s">
        <v>63</v>
      </c>
      <c r="I694" t="s">
        <v>32</v>
      </c>
      <c r="J694" t="s">
        <v>853</v>
      </c>
      <c r="K694">
        <v>24259.06</v>
      </c>
      <c r="L694">
        <v>0.19249998611343699</v>
      </c>
      <c r="M694">
        <v>2020</v>
      </c>
      <c r="N694" t="s">
        <v>1179</v>
      </c>
      <c r="O694">
        <v>6</v>
      </c>
      <c r="P694" t="s">
        <v>1214</v>
      </c>
    </row>
    <row r="695" spans="1:16" x14ac:dyDescent="0.3">
      <c r="A695" t="s">
        <v>17</v>
      </c>
      <c r="B695">
        <v>33013.08</v>
      </c>
      <c r="C695">
        <v>26743.9</v>
      </c>
      <c r="D695" s="1">
        <v>44163</v>
      </c>
      <c r="E695" t="s">
        <v>29</v>
      </c>
      <c r="F695" t="s">
        <v>45</v>
      </c>
      <c r="G695" t="s">
        <v>19</v>
      </c>
      <c r="H695" t="s">
        <v>20</v>
      </c>
      <c r="I695" t="s">
        <v>27</v>
      </c>
      <c r="J695" t="s">
        <v>854</v>
      </c>
      <c r="K695">
        <v>6269.18</v>
      </c>
      <c r="L695">
        <v>0.18989988210733399</v>
      </c>
      <c r="M695">
        <v>2020</v>
      </c>
      <c r="N695" t="s">
        <v>1180</v>
      </c>
      <c r="O695">
        <v>11</v>
      </c>
      <c r="P695" t="s">
        <v>1216</v>
      </c>
    </row>
    <row r="696" spans="1:16" x14ac:dyDescent="0.3">
      <c r="A696" t="s">
        <v>10</v>
      </c>
      <c r="B696">
        <v>156453.01</v>
      </c>
      <c r="C696">
        <v>128494.86</v>
      </c>
      <c r="D696" s="1">
        <v>43931</v>
      </c>
      <c r="E696" t="s">
        <v>40</v>
      </c>
      <c r="F696" t="s">
        <v>56</v>
      </c>
      <c r="G696" t="s">
        <v>13</v>
      </c>
      <c r="H696" t="s">
        <v>72</v>
      </c>
      <c r="I696" t="s">
        <v>27</v>
      </c>
      <c r="J696" t="s">
        <v>855</v>
      </c>
      <c r="K696">
        <v>27958.15</v>
      </c>
      <c r="L696">
        <v>0.17869998154717501</v>
      </c>
      <c r="M696">
        <v>2020</v>
      </c>
      <c r="N696" t="s">
        <v>1172</v>
      </c>
      <c r="O696">
        <v>4</v>
      </c>
      <c r="P696" t="s">
        <v>1215</v>
      </c>
    </row>
    <row r="697" spans="1:16" x14ac:dyDescent="0.3">
      <c r="A697" t="s">
        <v>22</v>
      </c>
      <c r="B697">
        <v>165696.9</v>
      </c>
      <c r="C697">
        <v>132275.84</v>
      </c>
      <c r="D697" s="1">
        <v>44126</v>
      </c>
      <c r="E697" t="s">
        <v>29</v>
      </c>
      <c r="F697" t="s">
        <v>95</v>
      </c>
      <c r="G697" t="s">
        <v>25</v>
      </c>
      <c r="H697" t="s">
        <v>52</v>
      </c>
      <c r="I697" t="s">
        <v>27</v>
      </c>
      <c r="J697" t="s">
        <v>856</v>
      </c>
      <c r="K697">
        <v>33421.06</v>
      </c>
      <c r="L697">
        <v>0.201699971453902</v>
      </c>
      <c r="M697">
        <v>2020</v>
      </c>
      <c r="N697" t="s">
        <v>1178</v>
      </c>
      <c r="O697">
        <v>10</v>
      </c>
      <c r="P697" t="s">
        <v>1216</v>
      </c>
    </row>
    <row r="698" spans="1:16" x14ac:dyDescent="0.3">
      <c r="A698" t="s">
        <v>17</v>
      </c>
      <c r="B698">
        <v>274242.36</v>
      </c>
      <c r="C698">
        <v>227950.25</v>
      </c>
      <c r="D698" s="1">
        <v>44086</v>
      </c>
      <c r="E698" t="s">
        <v>181</v>
      </c>
      <c r="F698" t="s">
        <v>106</v>
      </c>
      <c r="G698" t="s">
        <v>19</v>
      </c>
      <c r="H698" t="s">
        <v>20</v>
      </c>
      <c r="I698" t="s">
        <v>32</v>
      </c>
      <c r="J698" t="s">
        <v>857</v>
      </c>
      <c r="K698">
        <v>46292.11</v>
      </c>
      <c r="L698">
        <v>0.16879999865812101</v>
      </c>
      <c r="M698">
        <v>2020</v>
      </c>
      <c r="N698" t="s">
        <v>1175</v>
      </c>
      <c r="O698">
        <v>9</v>
      </c>
      <c r="P698" t="s">
        <v>1216</v>
      </c>
    </row>
    <row r="699" spans="1:16" x14ac:dyDescent="0.3">
      <c r="A699" t="s">
        <v>10</v>
      </c>
      <c r="B699">
        <v>97063.22</v>
      </c>
      <c r="C699">
        <v>78067.95</v>
      </c>
      <c r="D699" s="1">
        <v>43757</v>
      </c>
      <c r="E699" t="s">
        <v>23</v>
      </c>
      <c r="F699" t="s">
        <v>109</v>
      </c>
      <c r="G699" t="s">
        <v>13</v>
      </c>
      <c r="H699" t="s">
        <v>72</v>
      </c>
      <c r="I699" t="s">
        <v>15</v>
      </c>
      <c r="J699" t="s">
        <v>858</v>
      </c>
      <c r="K699">
        <v>18995.27</v>
      </c>
      <c r="L699">
        <v>0.195699977808278</v>
      </c>
      <c r="M699">
        <v>2019</v>
      </c>
      <c r="N699" t="s">
        <v>1178</v>
      </c>
      <c r="O699">
        <v>10</v>
      </c>
      <c r="P699" t="s">
        <v>1216</v>
      </c>
    </row>
    <row r="700" spans="1:16" x14ac:dyDescent="0.3">
      <c r="A700" t="s">
        <v>10</v>
      </c>
      <c r="B700">
        <v>174919.64</v>
      </c>
      <c r="C700">
        <v>146845.04</v>
      </c>
      <c r="D700" s="1">
        <v>43901</v>
      </c>
      <c r="E700" t="s">
        <v>40</v>
      </c>
      <c r="F700" t="s">
        <v>89</v>
      </c>
      <c r="G700" t="s">
        <v>13</v>
      </c>
      <c r="H700" t="s">
        <v>110</v>
      </c>
      <c r="I700" t="s">
        <v>32</v>
      </c>
      <c r="J700" t="s">
        <v>859</v>
      </c>
      <c r="K700">
        <v>28074.6</v>
      </c>
      <c r="L700">
        <v>0.16049998730845799</v>
      </c>
      <c r="M700">
        <v>2020</v>
      </c>
      <c r="N700" t="s">
        <v>1176</v>
      </c>
      <c r="O700">
        <v>3</v>
      </c>
      <c r="P700" t="s">
        <v>1215</v>
      </c>
    </row>
    <row r="701" spans="1:16" x14ac:dyDescent="0.3">
      <c r="A701" t="s">
        <v>22</v>
      </c>
      <c r="B701">
        <v>77522.570000000007</v>
      </c>
      <c r="C701">
        <v>64227.45</v>
      </c>
      <c r="D701" s="1">
        <v>43677</v>
      </c>
      <c r="E701" t="s">
        <v>181</v>
      </c>
      <c r="F701" t="s">
        <v>144</v>
      </c>
      <c r="G701" t="s">
        <v>25</v>
      </c>
      <c r="H701" t="s">
        <v>52</v>
      </c>
      <c r="I701" t="s">
        <v>32</v>
      </c>
      <c r="J701" t="s">
        <v>860</v>
      </c>
      <c r="K701">
        <v>13295.12</v>
      </c>
      <c r="L701">
        <v>0.17149999026090099</v>
      </c>
      <c r="M701">
        <v>2019</v>
      </c>
      <c r="N701" t="s">
        <v>1174</v>
      </c>
      <c r="O701">
        <v>7</v>
      </c>
      <c r="P701" t="s">
        <v>1214</v>
      </c>
    </row>
    <row r="702" spans="1:16" x14ac:dyDescent="0.3">
      <c r="A702" t="s">
        <v>22</v>
      </c>
      <c r="B702">
        <v>55790.71</v>
      </c>
      <c r="C702">
        <v>48783.4</v>
      </c>
      <c r="D702" s="1">
        <v>44053</v>
      </c>
      <c r="E702" t="s">
        <v>23</v>
      </c>
      <c r="F702" t="s">
        <v>56</v>
      </c>
      <c r="G702" t="s">
        <v>25</v>
      </c>
      <c r="H702" t="s">
        <v>26</v>
      </c>
      <c r="I702" t="s">
        <v>27</v>
      </c>
      <c r="J702" t="s">
        <v>861</v>
      </c>
      <c r="K702">
        <v>7007.31</v>
      </c>
      <c r="L702">
        <v>0.12559994307295999</v>
      </c>
      <c r="M702">
        <v>2020</v>
      </c>
      <c r="N702" t="s">
        <v>1171</v>
      </c>
      <c r="O702">
        <v>8</v>
      </c>
      <c r="P702" t="s">
        <v>1214</v>
      </c>
    </row>
    <row r="703" spans="1:16" x14ac:dyDescent="0.3">
      <c r="A703" t="s">
        <v>151</v>
      </c>
      <c r="B703">
        <v>127591.73</v>
      </c>
      <c r="C703">
        <v>108988.86</v>
      </c>
      <c r="D703" s="1">
        <v>43951</v>
      </c>
      <c r="E703" t="s">
        <v>11</v>
      </c>
      <c r="F703" t="s">
        <v>135</v>
      </c>
      <c r="G703" t="s">
        <v>152</v>
      </c>
      <c r="H703" t="s">
        <v>153</v>
      </c>
      <c r="I703" t="s">
        <v>32</v>
      </c>
      <c r="J703" t="s">
        <v>862</v>
      </c>
      <c r="K703">
        <v>18602.87</v>
      </c>
      <c r="L703">
        <v>0.145799966816031</v>
      </c>
      <c r="M703">
        <v>2020</v>
      </c>
      <c r="N703" t="s">
        <v>1172</v>
      </c>
      <c r="O703">
        <v>4</v>
      </c>
      <c r="P703" t="s">
        <v>1215</v>
      </c>
    </row>
    <row r="704" spans="1:16" x14ac:dyDescent="0.3">
      <c r="A704" t="s">
        <v>22</v>
      </c>
      <c r="B704">
        <v>101846.87</v>
      </c>
      <c r="C704">
        <v>88066.99</v>
      </c>
      <c r="D704" s="1">
        <v>43647</v>
      </c>
      <c r="E704" t="s">
        <v>40</v>
      </c>
      <c r="F704" t="s">
        <v>229</v>
      </c>
      <c r="G704" t="s">
        <v>25</v>
      </c>
      <c r="H704" t="s">
        <v>52</v>
      </c>
      <c r="I704" t="s">
        <v>27</v>
      </c>
      <c r="J704" t="s">
        <v>863</v>
      </c>
      <c r="K704">
        <v>13779.88</v>
      </c>
      <c r="L704">
        <v>0.13529998516400199</v>
      </c>
      <c r="M704">
        <v>2019</v>
      </c>
      <c r="N704" t="s">
        <v>1174</v>
      </c>
      <c r="O704">
        <v>7</v>
      </c>
      <c r="P704" t="s">
        <v>1214</v>
      </c>
    </row>
    <row r="705" spans="1:16" x14ac:dyDescent="0.3">
      <c r="A705" t="s">
        <v>17</v>
      </c>
      <c r="B705">
        <v>118021.59</v>
      </c>
      <c r="C705">
        <v>98229.37</v>
      </c>
      <c r="D705" s="1">
        <v>43576</v>
      </c>
      <c r="E705" t="s">
        <v>76</v>
      </c>
      <c r="F705" t="s">
        <v>312</v>
      </c>
      <c r="G705" t="s">
        <v>19</v>
      </c>
      <c r="H705" t="s">
        <v>78</v>
      </c>
      <c r="I705" t="s">
        <v>27</v>
      </c>
      <c r="J705" t="s">
        <v>864</v>
      </c>
      <c r="K705">
        <v>19792.22</v>
      </c>
      <c r="L705">
        <v>0.16769999455184401</v>
      </c>
      <c r="M705">
        <v>2019</v>
      </c>
      <c r="N705" t="s">
        <v>1172</v>
      </c>
      <c r="O705">
        <v>4</v>
      </c>
      <c r="P705" t="s">
        <v>1215</v>
      </c>
    </row>
    <row r="706" spans="1:16" x14ac:dyDescent="0.3">
      <c r="A706" t="s">
        <v>34</v>
      </c>
      <c r="B706">
        <v>66613.31</v>
      </c>
      <c r="C706">
        <v>55462.239999999998</v>
      </c>
      <c r="D706" s="1">
        <v>43733</v>
      </c>
      <c r="E706" t="s">
        <v>29</v>
      </c>
      <c r="F706" t="s">
        <v>41</v>
      </c>
      <c r="G706" t="s">
        <v>36</v>
      </c>
      <c r="H706" t="s">
        <v>37</v>
      </c>
      <c r="I706" t="s">
        <v>27</v>
      </c>
      <c r="J706" t="s">
        <v>865</v>
      </c>
      <c r="K706">
        <v>11151.07</v>
      </c>
      <c r="L706">
        <v>0.16740002861289999</v>
      </c>
      <c r="M706">
        <v>2019</v>
      </c>
      <c r="N706" t="s">
        <v>1175</v>
      </c>
      <c r="O706">
        <v>9</v>
      </c>
      <c r="P706" t="s">
        <v>1216</v>
      </c>
    </row>
    <row r="707" spans="1:16" x14ac:dyDescent="0.3">
      <c r="A707" t="s">
        <v>34</v>
      </c>
      <c r="B707">
        <v>91842.59</v>
      </c>
      <c r="C707">
        <v>73979.210000000006</v>
      </c>
      <c r="D707" s="1">
        <v>43553</v>
      </c>
      <c r="E707" t="s">
        <v>11</v>
      </c>
      <c r="F707" t="s">
        <v>277</v>
      </c>
      <c r="G707" t="s">
        <v>36</v>
      </c>
      <c r="H707" t="s">
        <v>37</v>
      </c>
      <c r="I707" t="s">
        <v>27</v>
      </c>
      <c r="J707" t="s">
        <v>866</v>
      </c>
      <c r="K707">
        <v>17863.38</v>
      </c>
      <c r="L707">
        <v>0.19449995911482901</v>
      </c>
      <c r="M707">
        <v>2019</v>
      </c>
      <c r="N707" t="s">
        <v>1176</v>
      </c>
      <c r="O707">
        <v>3</v>
      </c>
      <c r="P707" t="s">
        <v>1215</v>
      </c>
    </row>
    <row r="708" spans="1:16" x14ac:dyDescent="0.3">
      <c r="A708" t="s">
        <v>17</v>
      </c>
      <c r="B708">
        <v>108158.8</v>
      </c>
      <c r="C708">
        <v>89328.35</v>
      </c>
      <c r="D708" s="1">
        <v>44084</v>
      </c>
      <c r="E708" t="s">
        <v>23</v>
      </c>
      <c r="F708" t="s">
        <v>97</v>
      </c>
      <c r="G708" t="s">
        <v>19</v>
      </c>
      <c r="H708" t="s">
        <v>31</v>
      </c>
      <c r="I708" t="s">
        <v>27</v>
      </c>
      <c r="J708" t="s">
        <v>867</v>
      </c>
      <c r="K708">
        <v>18830.45</v>
      </c>
      <c r="L708">
        <v>0.17410002699734101</v>
      </c>
      <c r="M708">
        <v>2020</v>
      </c>
      <c r="N708" t="s">
        <v>1175</v>
      </c>
      <c r="O708">
        <v>9</v>
      </c>
      <c r="P708" t="s">
        <v>1216</v>
      </c>
    </row>
    <row r="709" spans="1:16" x14ac:dyDescent="0.3">
      <c r="A709" t="s">
        <v>22</v>
      </c>
      <c r="B709">
        <v>38982.26</v>
      </c>
      <c r="C709">
        <v>32854.25</v>
      </c>
      <c r="D709" s="1">
        <v>43809</v>
      </c>
      <c r="E709" t="s">
        <v>40</v>
      </c>
      <c r="F709" t="s">
        <v>24</v>
      </c>
      <c r="G709" t="s">
        <v>25</v>
      </c>
      <c r="H709" t="s">
        <v>167</v>
      </c>
      <c r="I709" t="s">
        <v>32</v>
      </c>
      <c r="J709" t="s">
        <v>868</v>
      </c>
      <c r="K709">
        <v>6128.01</v>
      </c>
      <c r="L709">
        <v>0.15719996736977301</v>
      </c>
      <c r="M709">
        <v>2019</v>
      </c>
      <c r="N709" t="s">
        <v>1182</v>
      </c>
      <c r="O709">
        <v>12</v>
      </c>
      <c r="P709" t="s">
        <v>1217</v>
      </c>
    </row>
    <row r="710" spans="1:16" x14ac:dyDescent="0.3">
      <c r="A710" t="s">
        <v>22</v>
      </c>
      <c r="B710">
        <v>181882.43</v>
      </c>
      <c r="C710">
        <v>149834.75</v>
      </c>
      <c r="D710" s="1">
        <v>43674</v>
      </c>
      <c r="E710" t="s">
        <v>91</v>
      </c>
      <c r="F710" t="s">
        <v>367</v>
      </c>
      <c r="G710" t="s">
        <v>25</v>
      </c>
      <c r="H710" t="s">
        <v>26</v>
      </c>
      <c r="I710" t="s">
        <v>27</v>
      </c>
      <c r="J710" t="s">
        <v>869</v>
      </c>
      <c r="K710">
        <v>32047.68</v>
      </c>
      <c r="L710">
        <v>0.176199977095094</v>
      </c>
      <c r="M710">
        <v>2019</v>
      </c>
      <c r="N710" t="s">
        <v>1174</v>
      </c>
      <c r="O710">
        <v>7</v>
      </c>
      <c r="P710" t="s">
        <v>1214</v>
      </c>
    </row>
    <row r="711" spans="1:16" x14ac:dyDescent="0.3">
      <c r="A711" t="s">
        <v>143</v>
      </c>
      <c r="B711">
        <v>59163.79</v>
      </c>
      <c r="C711">
        <v>50419.38</v>
      </c>
      <c r="D711" s="1">
        <v>43772</v>
      </c>
      <c r="E711" t="s">
        <v>51</v>
      </c>
      <c r="F711" t="s">
        <v>367</v>
      </c>
      <c r="G711" t="s">
        <v>145</v>
      </c>
      <c r="H711" t="s">
        <v>146</v>
      </c>
      <c r="I711" t="s">
        <v>32</v>
      </c>
      <c r="J711" t="s">
        <v>870</v>
      </c>
      <c r="K711">
        <v>8744.41</v>
      </c>
      <c r="L711">
        <v>0.14780003106629899</v>
      </c>
      <c r="M711">
        <v>2019</v>
      </c>
      <c r="N711" t="s">
        <v>1180</v>
      </c>
      <c r="O711">
        <v>11</v>
      </c>
      <c r="P711" t="s">
        <v>1216</v>
      </c>
    </row>
    <row r="712" spans="1:16" x14ac:dyDescent="0.3">
      <c r="A712" t="s">
        <v>17</v>
      </c>
      <c r="B712">
        <v>94925</v>
      </c>
      <c r="C712">
        <v>77572.710000000006</v>
      </c>
      <c r="D712" s="1">
        <v>43738</v>
      </c>
      <c r="E712" t="s">
        <v>55</v>
      </c>
      <c r="F712" t="s">
        <v>35</v>
      </c>
      <c r="G712" t="s">
        <v>19</v>
      </c>
      <c r="H712" t="s">
        <v>49</v>
      </c>
      <c r="I712" t="s">
        <v>32</v>
      </c>
      <c r="J712" t="s">
        <v>871</v>
      </c>
      <c r="K712">
        <v>17352.29</v>
      </c>
      <c r="L712">
        <v>0.18279999999999999</v>
      </c>
      <c r="M712">
        <v>2019</v>
      </c>
      <c r="N712" t="s">
        <v>1175</v>
      </c>
      <c r="O712">
        <v>9</v>
      </c>
      <c r="P712" t="s">
        <v>1216</v>
      </c>
    </row>
    <row r="713" spans="1:16" x14ac:dyDescent="0.3">
      <c r="A713" t="s">
        <v>10</v>
      </c>
      <c r="B713">
        <v>79088.7</v>
      </c>
      <c r="C713">
        <v>67415.210000000006</v>
      </c>
      <c r="D713" s="1">
        <v>43975</v>
      </c>
      <c r="E713" t="s">
        <v>76</v>
      </c>
      <c r="F713" t="s">
        <v>211</v>
      </c>
      <c r="G713" t="s">
        <v>13</v>
      </c>
      <c r="H713" t="s">
        <v>14</v>
      </c>
      <c r="I713" t="s">
        <v>27</v>
      </c>
      <c r="J713" t="s">
        <v>872</v>
      </c>
      <c r="K713">
        <v>11673.49</v>
      </c>
      <c r="L713">
        <v>0.14759997319465401</v>
      </c>
      <c r="M713">
        <v>2020</v>
      </c>
      <c r="N713" t="s">
        <v>1173</v>
      </c>
      <c r="O713">
        <v>5</v>
      </c>
      <c r="P713" t="s">
        <v>1215</v>
      </c>
    </row>
    <row r="714" spans="1:16" x14ac:dyDescent="0.3">
      <c r="A714" t="s">
        <v>17</v>
      </c>
      <c r="B714">
        <v>164267.72</v>
      </c>
      <c r="C714">
        <v>139069.04999999999</v>
      </c>
      <c r="D714" s="1">
        <v>44053</v>
      </c>
      <c r="E714" t="s">
        <v>23</v>
      </c>
      <c r="F714" t="s">
        <v>256</v>
      </c>
      <c r="G714" t="s">
        <v>19</v>
      </c>
      <c r="H714" t="s">
        <v>31</v>
      </c>
      <c r="I714" t="s">
        <v>27</v>
      </c>
      <c r="J714" t="s">
        <v>873</v>
      </c>
      <c r="K714">
        <v>25198.67</v>
      </c>
      <c r="L714">
        <v>0.15340001066551601</v>
      </c>
      <c r="M714">
        <v>2020</v>
      </c>
      <c r="N714" t="s">
        <v>1171</v>
      </c>
      <c r="O714">
        <v>8</v>
      </c>
      <c r="P714" t="s">
        <v>1214</v>
      </c>
    </row>
    <row r="715" spans="1:16" x14ac:dyDescent="0.3">
      <c r="A715" t="s">
        <v>17</v>
      </c>
      <c r="B715">
        <v>156110.39999999999</v>
      </c>
      <c r="C715">
        <v>132584.56</v>
      </c>
      <c r="D715" s="1">
        <v>43668</v>
      </c>
      <c r="E715" t="s">
        <v>76</v>
      </c>
      <c r="F715" t="s">
        <v>292</v>
      </c>
      <c r="G715" t="s">
        <v>19</v>
      </c>
      <c r="H715" t="s">
        <v>78</v>
      </c>
      <c r="I715" t="s">
        <v>27</v>
      </c>
      <c r="J715" t="s">
        <v>874</v>
      </c>
      <c r="K715">
        <v>23525.84</v>
      </c>
      <c r="L715">
        <v>0.15070001742356701</v>
      </c>
      <c r="M715">
        <v>2019</v>
      </c>
      <c r="N715" t="s">
        <v>1174</v>
      </c>
      <c r="O715">
        <v>7</v>
      </c>
      <c r="P715" t="s">
        <v>1214</v>
      </c>
    </row>
    <row r="716" spans="1:16" x14ac:dyDescent="0.3">
      <c r="A716" t="s">
        <v>34</v>
      </c>
      <c r="B716">
        <v>80013.81</v>
      </c>
      <c r="C716">
        <v>65587.320000000007</v>
      </c>
      <c r="D716" s="1">
        <v>43857</v>
      </c>
      <c r="E716" t="s">
        <v>29</v>
      </c>
      <c r="F716" t="s">
        <v>45</v>
      </c>
      <c r="G716" t="s">
        <v>36</v>
      </c>
      <c r="H716" t="s">
        <v>104</v>
      </c>
      <c r="I716" t="s">
        <v>27</v>
      </c>
      <c r="J716" t="s">
        <v>875</v>
      </c>
      <c r="K716">
        <v>14426.49</v>
      </c>
      <c r="L716">
        <v>0.18030000071237701</v>
      </c>
      <c r="M716">
        <v>2020</v>
      </c>
      <c r="N716" t="s">
        <v>1177</v>
      </c>
      <c r="O716">
        <v>1</v>
      </c>
      <c r="P716" t="s">
        <v>1217</v>
      </c>
    </row>
    <row r="717" spans="1:16" x14ac:dyDescent="0.3">
      <c r="A717" t="s">
        <v>10</v>
      </c>
      <c r="B717">
        <v>57347.48</v>
      </c>
      <c r="C717">
        <v>50041.41</v>
      </c>
      <c r="D717" s="1">
        <v>44173</v>
      </c>
      <c r="E717" t="s">
        <v>76</v>
      </c>
      <c r="F717" t="s">
        <v>56</v>
      </c>
      <c r="G717" t="s">
        <v>13</v>
      </c>
      <c r="H717" t="s">
        <v>72</v>
      </c>
      <c r="I717" t="s">
        <v>27</v>
      </c>
      <c r="J717" t="s">
        <v>876</v>
      </c>
      <c r="K717">
        <v>7306.07</v>
      </c>
      <c r="L717">
        <v>0.12740001827456099</v>
      </c>
      <c r="M717">
        <v>2020</v>
      </c>
      <c r="N717" t="s">
        <v>1182</v>
      </c>
      <c r="O717">
        <v>12</v>
      </c>
      <c r="P717" t="s">
        <v>1217</v>
      </c>
    </row>
    <row r="718" spans="1:16" x14ac:dyDescent="0.3">
      <c r="A718" t="s">
        <v>22</v>
      </c>
      <c r="B718">
        <v>99518.86</v>
      </c>
      <c r="C718">
        <v>81854.259999999995</v>
      </c>
      <c r="D718" s="1">
        <v>43802</v>
      </c>
      <c r="E718" t="s">
        <v>91</v>
      </c>
      <c r="F718" t="s">
        <v>92</v>
      </c>
      <c r="G718" t="s">
        <v>25</v>
      </c>
      <c r="H718" t="s">
        <v>26</v>
      </c>
      <c r="I718" t="s">
        <v>27</v>
      </c>
      <c r="J718" t="s">
        <v>877</v>
      </c>
      <c r="K718">
        <v>17664.599999999999</v>
      </c>
      <c r="L718">
        <v>0.177500023613615</v>
      </c>
      <c r="M718">
        <v>2019</v>
      </c>
      <c r="N718" t="s">
        <v>1182</v>
      </c>
      <c r="O718">
        <v>12</v>
      </c>
      <c r="P718" t="s">
        <v>1217</v>
      </c>
    </row>
    <row r="719" spans="1:16" x14ac:dyDescent="0.3">
      <c r="A719" t="s">
        <v>216</v>
      </c>
      <c r="B719">
        <v>104152.15</v>
      </c>
      <c r="C719">
        <v>85696.39</v>
      </c>
      <c r="D719" s="1">
        <v>43621</v>
      </c>
      <c r="E719" t="s">
        <v>51</v>
      </c>
      <c r="F719" t="s">
        <v>135</v>
      </c>
      <c r="G719" t="s">
        <v>217</v>
      </c>
      <c r="H719" t="s">
        <v>218</v>
      </c>
      <c r="I719" t="s">
        <v>32</v>
      </c>
      <c r="J719" t="s">
        <v>878</v>
      </c>
      <c r="K719">
        <v>18455.759999999998</v>
      </c>
      <c r="L719">
        <v>0.177199990590689</v>
      </c>
      <c r="M719">
        <v>2019</v>
      </c>
      <c r="N719" t="s">
        <v>1179</v>
      </c>
      <c r="O719">
        <v>6</v>
      </c>
      <c r="P719" t="s">
        <v>1214</v>
      </c>
    </row>
    <row r="720" spans="1:16" x14ac:dyDescent="0.3">
      <c r="A720" t="s">
        <v>22</v>
      </c>
      <c r="B720">
        <v>172505.24</v>
      </c>
      <c r="C720">
        <v>139125.48000000001</v>
      </c>
      <c r="D720" s="1">
        <v>43871</v>
      </c>
      <c r="E720" t="s">
        <v>55</v>
      </c>
      <c r="F720" t="s">
        <v>164</v>
      </c>
      <c r="G720" t="s">
        <v>25</v>
      </c>
      <c r="H720" t="s">
        <v>87</v>
      </c>
      <c r="I720" t="s">
        <v>27</v>
      </c>
      <c r="J720" t="s">
        <v>879</v>
      </c>
      <c r="K720">
        <v>33379.760000000002</v>
      </c>
      <c r="L720">
        <v>0.193499977160114</v>
      </c>
      <c r="M720">
        <v>2020</v>
      </c>
      <c r="N720" t="s">
        <v>1181</v>
      </c>
      <c r="O720">
        <v>2</v>
      </c>
      <c r="P720" t="s">
        <v>1217</v>
      </c>
    </row>
    <row r="721" spans="1:16" x14ac:dyDescent="0.3">
      <c r="A721" t="s">
        <v>22</v>
      </c>
      <c r="B721">
        <v>48763.58</v>
      </c>
      <c r="C721">
        <v>39435.11</v>
      </c>
      <c r="D721" s="1">
        <v>44026</v>
      </c>
      <c r="E721" t="s">
        <v>51</v>
      </c>
      <c r="F721" t="s">
        <v>41</v>
      </c>
      <c r="G721" t="s">
        <v>25</v>
      </c>
      <c r="H721" t="s">
        <v>167</v>
      </c>
      <c r="I721" t="s">
        <v>27</v>
      </c>
      <c r="J721" t="s">
        <v>880</v>
      </c>
      <c r="K721">
        <v>9328.4699999999993</v>
      </c>
      <c r="L721">
        <v>0.19129994147271401</v>
      </c>
      <c r="M721">
        <v>2020</v>
      </c>
      <c r="N721" t="s">
        <v>1174</v>
      </c>
      <c r="O721">
        <v>7</v>
      </c>
      <c r="P721" t="s">
        <v>1214</v>
      </c>
    </row>
    <row r="722" spans="1:16" x14ac:dyDescent="0.3">
      <c r="A722" t="s">
        <v>22</v>
      </c>
      <c r="B722">
        <v>65760.39</v>
      </c>
      <c r="C722">
        <v>56672.3</v>
      </c>
      <c r="D722" s="1">
        <v>44084</v>
      </c>
      <c r="E722" t="s">
        <v>51</v>
      </c>
      <c r="F722" t="s">
        <v>156</v>
      </c>
      <c r="G722" t="s">
        <v>25</v>
      </c>
      <c r="H722" t="s">
        <v>52</v>
      </c>
      <c r="I722" t="s">
        <v>27</v>
      </c>
      <c r="J722" t="s">
        <v>881</v>
      </c>
      <c r="K722">
        <v>9088.09</v>
      </c>
      <c r="L722">
        <v>0.138200062377976</v>
      </c>
      <c r="M722">
        <v>2020</v>
      </c>
      <c r="N722" t="s">
        <v>1175</v>
      </c>
      <c r="O722">
        <v>9</v>
      </c>
      <c r="P722" t="s">
        <v>1216</v>
      </c>
    </row>
    <row r="723" spans="1:16" x14ac:dyDescent="0.3">
      <c r="A723" t="s">
        <v>216</v>
      </c>
      <c r="B723">
        <v>200472.46</v>
      </c>
      <c r="C723">
        <v>170181.07</v>
      </c>
      <c r="D723" s="1">
        <v>44001</v>
      </c>
      <c r="E723" t="s">
        <v>29</v>
      </c>
      <c r="F723" t="s">
        <v>89</v>
      </c>
      <c r="G723" t="s">
        <v>217</v>
      </c>
      <c r="H723" t="s">
        <v>218</v>
      </c>
      <c r="I723" t="s">
        <v>27</v>
      </c>
      <c r="J723" t="s">
        <v>882</v>
      </c>
      <c r="K723">
        <v>30291.39</v>
      </c>
      <c r="L723">
        <v>0.15110000645475199</v>
      </c>
      <c r="M723">
        <v>2020</v>
      </c>
      <c r="N723" t="s">
        <v>1179</v>
      </c>
      <c r="O723">
        <v>6</v>
      </c>
      <c r="P723" t="s">
        <v>1214</v>
      </c>
    </row>
    <row r="724" spans="1:16" x14ac:dyDescent="0.3">
      <c r="A724" t="s">
        <v>34</v>
      </c>
      <c r="B724">
        <v>86071.63</v>
      </c>
      <c r="C724">
        <v>71198.45</v>
      </c>
      <c r="D724" s="1">
        <v>43782</v>
      </c>
      <c r="E724" t="s">
        <v>29</v>
      </c>
      <c r="F724" t="s">
        <v>335</v>
      </c>
      <c r="G724" t="s">
        <v>36</v>
      </c>
      <c r="H724" t="s">
        <v>37</v>
      </c>
      <c r="I724" t="s">
        <v>15</v>
      </c>
      <c r="J724" t="s">
        <v>883</v>
      </c>
      <c r="K724">
        <v>14873.18</v>
      </c>
      <c r="L724">
        <v>0.172800027140185</v>
      </c>
      <c r="M724">
        <v>2019</v>
      </c>
      <c r="N724" t="s">
        <v>1180</v>
      </c>
      <c r="O724">
        <v>11</v>
      </c>
      <c r="P724" t="s">
        <v>1216</v>
      </c>
    </row>
    <row r="725" spans="1:16" x14ac:dyDescent="0.3">
      <c r="A725" t="s">
        <v>10</v>
      </c>
      <c r="B725">
        <v>53957.42</v>
      </c>
      <c r="C725">
        <v>46905.19</v>
      </c>
      <c r="D725" s="1">
        <v>43610</v>
      </c>
      <c r="E725" t="s">
        <v>51</v>
      </c>
      <c r="F725" t="s">
        <v>56</v>
      </c>
      <c r="G725" t="s">
        <v>13</v>
      </c>
      <c r="H725" t="s">
        <v>110</v>
      </c>
      <c r="I725" t="s">
        <v>27</v>
      </c>
      <c r="J725" t="s">
        <v>884</v>
      </c>
      <c r="K725">
        <v>7052.23</v>
      </c>
      <c r="L725">
        <v>0.13069991115216401</v>
      </c>
      <c r="M725">
        <v>2019</v>
      </c>
      <c r="N725" t="s">
        <v>1173</v>
      </c>
      <c r="O725">
        <v>5</v>
      </c>
      <c r="P725" t="s">
        <v>1215</v>
      </c>
    </row>
    <row r="726" spans="1:16" x14ac:dyDescent="0.3">
      <c r="A726" t="s">
        <v>129</v>
      </c>
      <c r="B726">
        <v>235608.66</v>
      </c>
      <c r="C726">
        <v>201468.96</v>
      </c>
      <c r="D726" s="1">
        <v>44039</v>
      </c>
      <c r="E726" t="s">
        <v>11</v>
      </c>
      <c r="F726" t="s">
        <v>24</v>
      </c>
      <c r="G726" t="s">
        <v>130</v>
      </c>
      <c r="H726" t="s">
        <v>159</v>
      </c>
      <c r="I726" t="s">
        <v>15</v>
      </c>
      <c r="J726" t="s">
        <v>885</v>
      </c>
      <c r="K726">
        <v>34139.699999999997</v>
      </c>
      <c r="L726">
        <v>0.144900021926189</v>
      </c>
      <c r="M726">
        <v>2020</v>
      </c>
      <c r="N726" t="s">
        <v>1174</v>
      </c>
      <c r="O726">
        <v>7</v>
      </c>
      <c r="P726" t="s">
        <v>1214</v>
      </c>
    </row>
    <row r="727" spans="1:16" x14ac:dyDescent="0.3">
      <c r="A727" t="s">
        <v>129</v>
      </c>
      <c r="B727">
        <v>52388.85</v>
      </c>
      <c r="C727">
        <v>45641.17</v>
      </c>
      <c r="D727" s="1">
        <v>44043</v>
      </c>
      <c r="E727" t="s">
        <v>29</v>
      </c>
      <c r="F727" t="s">
        <v>56</v>
      </c>
      <c r="G727" t="s">
        <v>130</v>
      </c>
      <c r="H727" t="s">
        <v>131</v>
      </c>
      <c r="I727" t="s">
        <v>27</v>
      </c>
      <c r="J727" t="s">
        <v>886</v>
      </c>
      <c r="K727">
        <v>6747.68</v>
      </c>
      <c r="L727">
        <v>0.128799925938439</v>
      </c>
      <c r="M727">
        <v>2020</v>
      </c>
      <c r="N727" t="s">
        <v>1174</v>
      </c>
      <c r="O727">
        <v>7</v>
      </c>
      <c r="P727" t="s">
        <v>1214</v>
      </c>
    </row>
    <row r="728" spans="1:16" x14ac:dyDescent="0.3">
      <c r="A728" t="s">
        <v>10</v>
      </c>
      <c r="B728">
        <v>133055.04000000001</v>
      </c>
      <c r="C728">
        <v>105366.29</v>
      </c>
      <c r="D728" s="1">
        <v>43749</v>
      </c>
      <c r="E728" t="s">
        <v>91</v>
      </c>
      <c r="F728" t="s">
        <v>24</v>
      </c>
      <c r="G728" t="s">
        <v>13</v>
      </c>
      <c r="H728" t="s">
        <v>14</v>
      </c>
      <c r="I728" t="s">
        <v>27</v>
      </c>
      <c r="J728" t="s">
        <v>887</v>
      </c>
      <c r="K728">
        <v>27688.75</v>
      </c>
      <c r="L728">
        <v>0.20809997126001401</v>
      </c>
      <c r="M728">
        <v>2019</v>
      </c>
      <c r="N728" t="s">
        <v>1178</v>
      </c>
      <c r="O728">
        <v>10</v>
      </c>
      <c r="P728" t="s">
        <v>1216</v>
      </c>
    </row>
    <row r="729" spans="1:16" x14ac:dyDescent="0.3">
      <c r="A729" t="s">
        <v>22</v>
      </c>
      <c r="B729">
        <v>52227.07</v>
      </c>
      <c r="C729">
        <v>45124.19</v>
      </c>
      <c r="D729" s="1">
        <v>43538</v>
      </c>
      <c r="E729" t="s">
        <v>91</v>
      </c>
      <c r="F729" t="s">
        <v>400</v>
      </c>
      <c r="G729" t="s">
        <v>25</v>
      </c>
      <c r="H729" t="s">
        <v>26</v>
      </c>
      <c r="I729" t="s">
        <v>27</v>
      </c>
      <c r="J729" t="s">
        <v>888</v>
      </c>
      <c r="K729">
        <v>7102.88</v>
      </c>
      <c r="L729">
        <v>0.13599997089631899</v>
      </c>
      <c r="M729">
        <v>2019</v>
      </c>
      <c r="N729" t="s">
        <v>1176</v>
      </c>
      <c r="O729">
        <v>3</v>
      </c>
      <c r="P729" t="s">
        <v>1215</v>
      </c>
    </row>
    <row r="730" spans="1:16" x14ac:dyDescent="0.3">
      <c r="A730" t="s">
        <v>17</v>
      </c>
      <c r="B730">
        <v>124534.96</v>
      </c>
      <c r="C730">
        <v>107012.89</v>
      </c>
      <c r="D730" s="1">
        <v>44030</v>
      </c>
      <c r="E730" t="s">
        <v>91</v>
      </c>
      <c r="F730" t="s">
        <v>92</v>
      </c>
      <c r="G730" t="s">
        <v>19</v>
      </c>
      <c r="H730" t="s">
        <v>78</v>
      </c>
      <c r="I730" t="s">
        <v>27</v>
      </c>
      <c r="J730" t="s">
        <v>889</v>
      </c>
      <c r="K730">
        <v>17522.07</v>
      </c>
      <c r="L730">
        <v>0.140700009057698</v>
      </c>
      <c r="M730">
        <v>2020</v>
      </c>
      <c r="N730" t="s">
        <v>1174</v>
      </c>
      <c r="O730">
        <v>7</v>
      </c>
      <c r="P730" t="s">
        <v>1214</v>
      </c>
    </row>
    <row r="731" spans="1:16" x14ac:dyDescent="0.3">
      <c r="A731" t="s">
        <v>17</v>
      </c>
      <c r="B731">
        <v>174951.18</v>
      </c>
      <c r="C731">
        <v>142690.18</v>
      </c>
      <c r="D731" s="1">
        <v>43726</v>
      </c>
      <c r="E731" t="s">
        <v>40</v>
      </c>
      <c r="F731" t="s">
        <v>133</v>
      </c>
      <c r="G731" t="s">
        <v>19</v>
      </c>
      <c r="H731" t="s">
        <v>20</v>
      </c>
      <c r="I731" t="s">
        <v>32</v>
      </c>
      <c r="J731" t="s">
        <v>890</v>
      </c>
      <c r="K731">
        <v>32261</v>
      </c>
      <c r="L731">
        <v>0.18440001376383999</v>
      </c>
      <c r="M731">
        <v>2019</v>
      </c>
      <c r="N731" t="s">
        <v>1175</v>
      </c>
      <c r="O731">
        <v>9</v>
      </c>
      <c r="P731" t="s">
        <v>1216</v>
      </c>
    </row>
    <row r="732" spans="1:16" x14ac:dyDescent="0.3">
      <c r="A732" t="s">
        <v>22</v>
      </c>
      <c r="B732">
        <v>76943.740000000005</v>
      </c>
      <c r="C732">
        <v>62870.73</v>
      </c>
      <c r="D732" s="1">
        <v>43471</v>
      </c>
      <c r="E732" t="s">
        <v>29</v>
      </c>
      <c r="F732" t="s">
        <v>56</v>
      </c>
      <c r="G732" t="s">
        <v>25</v>
      </c>
      <c r="H732" t="s">
        <v>167</v>
      </c>
      <c r="I732" t="s">
        <v>27</v>
      </c>
      <c r="J732" t="s">
        <v>891</v>
      </c>
      <c r="K732">
        <v>14073.01</v>
      </c>
      <c r="L732">
        <v>0.18289999940216101</v>
      </c>
      <c r="M732">
        <v>2019</v>
      </c>
      <c r="N732" t="s">
        <v>1177</v>
      </c>
      <c r="O732">
        <v>1</v>
      </c>
      <c r="P732" t="s">
        <v>1217</v>
      </c>
    </row>
    <row r="733" spans="1:16" x14ac:dyDescent="0.3">
      <c r="A733" t="s">
        <v>17</v>
      </c>
      <c r="B733">
        <v>81095.39</v>
      </c>
      <c r="C733">
        <v>64316.75</v>
      </c>
      <c r="D733" s="1">
        <v>44052</v>
      </c>
      <c r="E733" t="s">
        <v>11</v>
      </c>
      <c r="F733" t="s">
        <v>300</v>
      </c>
      <c r="G733" t="s">
        <v>19</v>
      </c>
      <c r="H733" t="s">
        <v>49</v>
      </c>
      <c r="I733" t="s">
        <v>27</v>
      </c>
      <c r="J733" t="s">
        <v>892</v>
      </c>
      <c r="K733">
        <v>16778.64</v>
      </c>
      <c r="L733">
        <v>0.206900046969378</v>
      </c>
      <c r="M733">
        <v>2020</v>
      </c>
      <c r="N733" t="s">
        <v>1171</v>
      </c>
      <c r="O733">
        <v>8</v>
      </c>
      <c r="P733" t="s">
        <v>1214</v>
      </c>
    </row>
    <row r="734" spans="1:16" x14ac:dyDescent="0.3">
      <c r="A734" t="s">
        <v>10</v>
      </c>
      <c r="B734">
        <v>40385.449999999997</v>
      </c>
      <c r="C734">
        <v>32591.06</v>
      </c>
      <c r="D734" s="1">
        <v>44027</v>
      </c>
      <c r="E734" t="s">
        <v>51</v>
      </c>
      <c r="F734" t="s">
        <v>126</v>
      </c>
      <c r="G734" t="s">
        <v>13</v>
      </c>
      <c r="H734" t="s">
        <v>14</v>
      </c>
      <c r="I734" t="s">
        <v>27</v>
      </c>
      <c r="J734" t="s">
        <v>893</v>
      </c>
      <c r="K734">
        <v>7794.39</v>
      </c>
      <c r="L734">
        <v>0.19299995419142299</v>
      </c>
      <c r="M734">
        <v>2020</v>
      </c>
      <c r="N734" t="s">
        <v>1174</v>
      </c>
      <c r="O734">
        <v>7</v>
      </c>
      <c r="P734" t="s">
        <v>1214</v>
      </c>
    </row>
    <row r="735" spans="1:16" x14ac:dyDescent="0.3">
      <c r="A735" t="s">
        <v>22</v>
      </c>
      <c r="B735">
        <v>161544.06</v>
      </c>
      <c r="C735">
        <v>132579.21</v>
      </c>
      <c r="D735" s="1">
        <v>43808</v>
      </c>
      <c r="E735" t="s">
        <v>40</v>
      </c>
      <c r="F735" t="s">
        <v>56</v>
      </c>
      <c r="G735" t="s">
        <v>25</v>
      </c>
      <c r="H735" t="s">
        <v>167</v>
      </c>
      <c r="I735" t="s">
        <v>27</v>
      </c>
      <c r="J735" t="s">
        <v>894</v>
      </c>
      <c r="K735">
        <v>28964.85</v>
      </c>
      <c r="L735">
        <v>0.17930000025999099</v>
      </c>
      <c r="M735">
        <v>2019</v>
      </c>
      <c r="N735" t="s">
        <v>1182</v>
      </c>
      <c r="O735">
        <v>12</v>
      </c>
      <c r="P735" t="s">
        <v>1217</v>
      </c>
    </row>
    <row r="736" spans="1:16" x14ac:dyDescent="0.3">
      <c r="A736" t="s">
        <v>151</v>
      </c>
      <c r="B736">
        <v>37892.58</v>
      </c>
      <c r="C736">
        <v>30010.92</v>
      </c>
      <c r="D736" s="1">
        <v>43486</v>
      </c>
      <c r="E736" t="s">
        <v>29</v>
      </c>
      <c r="F736" t="s">
        <v>56</v>
      </c>
      <c r="G736" t="s">
        <v>152</v>
      </c>
      <c r="H736" t="s">
        <v>153</v>
      </c>
      <c r="I736" t="s">
        <v>27</v>
      </c>
      <c r="J736" t="s">
        <v>895</v>
      </c>
      <c r="K736">
        <v>7881.66</v>
      </c>
      <c r="L736">
        <v>0.20800008867171399</v>
      </c>
      <c r="M736">
        <v>2019</v>
      </c>
      <c r="N736" t="s">
        <v>1177</v>
      </c>
      <c r="O736">
        <v>1</v>
      </c>
      <c r="P736" t="s">
        <v>1217</v>
      </c>
    </row>
    <row r="737" spans="1:16" x14ac:dyDescent="0.3">
      <c r="A737" t="s">
        <v>17</v>
      </c>
      <c r="B737">
        <v>78540.62</v>
      </c>
      <c r="C737">
        <v>63987.040000000001</v>
      </c>
      <c r="D737" s="1">
        <v>43687</v>
      </c>
      <c r="E737" t="s">
        <v>40</v>
      </c>
      <c r="F737" t="s">
        <v>314</v>
      </c>
      <c r="G737" t="s">
        <v>19</v>
      </c>
      <c r="H737" t="s">
        <v>31</v>
      </c>
      <c r="I737" t="s">
        <v>27</v>
      </c>
      <c r="J737" t="s">
        <v>896</v>
      </c>
      <c r="K737">
        <v>14553.58</v>
      </c>
      <c r="L737">
        <v>0.18530003964827399</v>
      </c>
      <c r="M737">
        <v>2019</v>
      </c>
      <c r="N737" t="s">
        <v>1171</v>
      </c>
      <c r="O737">
        <v>8</v>
      </c>
      <c r="P737" t="s">
        <v>1214</v>
      </c>
    </row>
    <row r="738" spans="1:16" x14ac:dyDescent="0.3">
      <c r="A738" t="s">
        <v>66</v>
      </c>
      <c r="B738">
        <v>82525.61</v>
      </c>
      <c r="C738">
        <v>68446.740000000005</v>
      </c>
      <c r="D738" s="1">
        <v>43468</v>
      </c>
      <c r="E738" t="s">
        <v>40</v>
      </c>
      <c r="F738" t="s">
        <v>56</v>
      </c>
      <c r="G738" t="s">
        <v>68</v>
      </c>
      <c r="H738" t="s">
        <v>69</v>
      </c>
      <c r="I738" t="s">
        <v>27</v>
      </c>
      <c r="J738" t="s">
        <v>897</v>
      </c>
      <c r="K738">
        <v>14078.87</v>
      </c>
      <c r="L738">
        <v>0.170600011317699</v>
      </c>
      <c r="M738">
        <v>2019</v>
      </c>
      <c r="N738" t="s">
        <v>1177</v>
      </c>
      <c r="O738">
        <v>1</v>
      </c>
      <c r="P738" t="s">
        <v>1217</v>
      </c>
    </row>
    <row r="739" spans="1:16" x14ac:dyDescent="0.3">
      <c r="A739" t="s">
        <v>22</v>
      </c>
      <c r="B739">
        <v>86083.27</v>
      </c>
      <c r="C739">
        <v>72309.95</v>
      </c>
      <c r="D739" s="1">
        <v>43799</v>
      </c>
      <c r="E739" t="s">
        <v>29</v>
      </c>
      <c r="F739" t="s">
        <v>48</v>
      </c>
      <c r="G739" t="s">
        <v>25</v>
      </c>
      <c r="H739" t="s">
        <v>63</v>
      </c>
      <c r="I739" t="s">
        <v>27</v>
      </c>
      <c r="J739" t="s">
        <v>898</v>
      </c>
      <c r="K739">
        <v>13773.32</v>
      </c>
      <c r="L739">
        <v>0.15999996282669099</v>
      </c>
      <c r="M739">
        <v>2019</v>
      </c>
      <c r="N739" t="s">
        <v>1180</v>
      </c>
      <c r="O739">
        <v>11</v>
      </c>
      <c r="P739" t="s">
        <v>1216</v>
      </c>
    </row>
    <row r="740" spans="1:16" x14ac:dyDescent="0.3">
      <c r="A740" t="s">
        <v>22</v>
      </c>
      <c r="B740">
        <v>97439.360000000001</v>
      </c>
      <c r="C740">
        <v>79773.600000000006</v>
      </c>
      <c r="D740" s="1">
        <v>43685</v>
      </c>
      <c r="E740" t="s">
        <v>11</v>
      </c>
      <c r="F740" t="s">
        <v>41</v>
      </c>
      <c r="G740" t="s">
        <v>25</v>
      </c>
      <c r="H740" t="s">
        <v>87</v>
      </c>
      <c r="I740" t="s">
        <v>27</v>
      </c>
      <c r="J740" t="s">
        <v>899</v>
      </c>
      <c r="K740">
        <v>17665.759999999998</v>
      </c>
      <c r="L740">
        <v>0.181300041379582</v>
      </c>
      <c r="M740">
        <v>2019</v>
      </c>
      <c r="N740" t="s">
        <v>1171</v>
      </c>
      <c r="O740">
        <v>8</v>
      </c>
      <c r="P740" t="s">
        <v>1214</v>
      </c>
    </row>
    <row r="741" spans="1:16" x14ac:dyDescent="0.3">
      <c r="A741" t="s">
        <v>17</v>
      </c>
      <c r="B741">
        <v>70657.259999999995</v>
      </c>
      <c r="C741">
        <v>61330.5</v>
      </c>
      <c r="D741" s="1">
        <v>43960</v>
      </c>
      <c r="E741" t="s">
        <v>99</v>
      </c>
      <c r="F741" t="s">
        <v>149</v>
      </c>
      <c r="G741" t="s">
        <v>19</v>
      </c>
      <c r="H741" t="s">
        <v>78</v>
      </c>
      <c r="I741" t="s">
        <v>27</v>
      </c>
      <c r="J741" t="s">
        <v>900</v>
      </c>
      <c r="K741">
        <v>9326.76</v>
      </c>
      <c r="L741">
        <v>0.13200002377674999</v>
      </c>
      <c r="M741">
        <v>2020</v>
      </c>
      <c r="N741" t="s">
        <v>1173</v>
      </c>
      <c r="O741">
        <v>5</v>
      </c>
      <c r="P741" t="s">
        <v>1215</v>
      </c>
    </row>
    <row r="742" spans="1:16" x14ac:dyDescent="0.3">
      <c r="A742" t="s">
        <v>22</v>
      </c>
      <c r="B742">
        <v>155766.23000000001</v>
      </c>
      <c r="C742">
        <v>131529</v>
      </c>
      <c r="D742" s="1">
        <v>43978</v>
      </c>
      <c r="E742" t="s">
        <v>11</v>
      </c>
      <c r="F742" t="s">
        <v>164</v>
      </c>
      <c r="G742" t="s">
        <v>25</v>
      </c>
      <c r="H742" t="s">
        <v>52</v>
      </c>
      <c r="I742" t="s">
        <v>27</v>
      </c>
      <c r="J742" t="s">
        <v>901</v>
      </c>
      <c r="K742">
        <v>24237.23</v>
      </c>
      <c r="L742">
        <v>0.155600029608472</v>
      </c>
      <c r="M742">
        <v>2020</v>
      </c>
      <c r="N742" t="s">
        <v>1173</v>
      </c>
      <c r="O742">
        <v>5</v>
      </c>
      <c r="P742" t="s">
        <v>1215</v>
      </c>
    </row>
    <row r="743" spans="1:16" x14ac:dyDescent="0.3">
      <c r="A743" t="s">
        <v>54</v>
      </c>
      <c r="B743">
        <v>48922.42</v>
      </c>
      <c r="C743">
        <v>39387.440000000002</v>
      </c>
      <c r="D743" s="1">
        <v>44123</v>
      </c>
      <c r="E743" t="s">
        <v>181</v>
      </c>
      <c r="F743" t="s">
        <v>300</v>
      </c>
      <c r="G743" t="s">
        <v>57</v>
      </c>
      <c r="H743" t="s">
        <v>58</v>
      </c>
      <c r="I743" t="s">
        <v>15</v>
      </c>
      <c r="J743" t="s">
        <v>902</v>
      </c>
      <c r="K743">
        <v>9534.98</v>
      </c>
      <c r="L743">
        <v>0.19490000699066001</v>
      </c>
      <c r="M743">
        <v>2020</v>
      </c>
      <c r="N743" t="s">
        <v>1178</v>
      </c>
      <c r="O743">
        <v>10</v>
      </c>
      <c r="P743" t="s">
        <v>1216</v>
      </c>
    </row>
    <row r="744" spans="1:16" x14ac:dyDescent="0.3">
      <c r="A744" t="s">
        <v>151</v>
      </c>
      <c r="B744">
        <v>157007.51999999999</v>
      </c>
      <c r="C744">
        <v>126940.58</v>
      </c>
      <c r="D744" s="1">
        <v>43708</v>
      </c>
      <c r="E744" t="s">
        <v>76</v>
      </c>
      <c r="F744" t="s">
        <v>74</v>
      </c>
      <c r="G744" t="s">
        <v>152</v>
      </c>
      <c r="H744" t="s">
        <v>197</v>
      </c>
      <c r="I744" t="s">
        <v>27</v>
      </c>
      <c r="J744" t="s">
        <v>903</v>
      </c>
      <c r="K744">
        <v>30066.94</v>
      </c>
      <c r="L744">
        <v>0.19149999949047</v>
      </c>
      <c r="M744">
        <v>2019</v>
      </c>
      <c r="N744" t="s">
        <v>1171</v>
      </c>
      <c r="O744">
        <v>8</v>
      </c>
      <c r="P744" t="s">
        <v>1214</v>
      </c>
    </row>
    <row r="745" spans="1:16" x14ac:dyDescent="0.3">
      <c r="A745" t="s">
        <v>22</v>
      </c>
      <c r="B745">
        <v>40728.28</v>
      </c>
      <c r="C745">
        <v>35669.83</v>
      </c>
      <c r="D745" s="1">
        <v>43730</v>
      </c>
      <c r="E745" t="s">
        <v>76</v>
      </c>
      <c r="F745" t="s">
        <v>164</v>
      </c>
      <c r="G745" t="s">
        <v>25</v>
      </c>
      <c r="H745" t="s">
        <v>63</v>
      </c>
      <c r="I745" t="s">
        <v>32</v>
      </c>
      <c r="J745" t="s">
        <v>904</v>
      </c>
      <c r="K745">
        <v>5058.45</v>
      </c>
      <c r="L745">
        <v>0.124199941662157</v>
      </c>
      <c r="M745">
        <v>2019</v>
      </c>
      <c r="N745" t="s">
        <v>1175</v>
      </c>
      <c r="O745">
        <v>9</v>
      </c>
      <c r="P745" t="s">
        <v>1216</v>
      </c>
    </row>
    <row r="746" spans="1:16" x14ac:dyDescent="0.3">
      <c r="A746" t="s">
        <v>22</v>
      </c>
      <c r="B746">
        <v>152442.32</v>
      </c>
      <c r="C746">
        <v>122258.74</v>
      </c>
      <c r="D746" s="1">
        <v>43992</v>
      </c>
      <c r="E746" t="s">
        <v>29</v>
      </c>
      <c r="F746" t="s">
        <v>56</v>
      </c>
      <c r="G746" t="s">
        <v>25</v>
      </c>
      <c r="H746" t="s">
        <v>52</v>
      </c>
      <c r="I746" t="s">
        <v>27</v>
      </c>
      <c r="J746" t="s">
        <v>905</v>
      </c>
      <c r="K746">
        <v>30183.58</v>
      </c>
      <c r="L746">
        <v>0.19800000419830899</v>
      </c>
      <c r="M746">
        <v>2020</v>
      </c>
      <c r="N746" t="s">
        <v>1179</v>
      </c>
      <c r="O746">
        <v>6</v>
      </c>
      <c r="P746" t="s">
        <v>1214</v>
      </c>
    </row>
    <row r="747" spans="1:16" x14ac:dyDescent="0.3">
      <c r="A747" t="s">
        <v>122</v>
      </c>
      <c r="B747">
        <v>158011.29999999999</v>
      </c>
      <c r="C747">
        <v>137390.82999999999</v>
      </c>
      <c r="D747" s="1">
        <v>43796</v>
      </c>
      <c r="E747" t="s">
        <v>76</v>
      </c>
      <c r="F747" t="s">
        <v>60</v>
      </c>
      <c r="G747" t="s">
        <v>123</v>
      </c>
      <c r="H747" t="s">
        <v>124</v>
      </c>
      <c r="I747" t="s">
        <v>27</v>
      </c>
      <c r="J747" t="s">
        <v>906</v>
      </c>
      <c r="K747">
        <v>20620.47</v>
      </c>
      <c r="L747">
        <v>0.13049997057172499</v>
      </c>
      <c r="M747">
        <v>2019</v>
      </c>
      <c r="N747" t="s">
        <v>1180</v>
      </c>
      <c r="O747">
        <v>11</v>
      </c>
      <c r="P747" t="s">
        <v>1216</v>
      </c>
    </row>
    <row r="748" spans="1:16" x14ac:dyDescent="0.3">
      <c r="A748" t="s">
        <v>129</v>
      </c>
      <c r="B748">
        <v>65211.07</v>
      </c>
      <c r="C748">
        <v>56883.62</v>
      </c>
      <c r="D748" s="1">
        <v>44132</v>
      </c>
      <c r="E748" t="s">
        <v>11</v>
      </c>
      <c r="F748" t="s">
        <v>256</v>
      </c>
      <c r="G748" t="s">
        <v>130</v>
      </c>
      <c r="H748" t="s">
        <v>131</v>
      </c>
      <c r="I748" t="s">
        <v>27</v>
      </c>
      <c r="J748" t="s">
        <v>907</v>
      </c>
      <c r="K748">
        <v>8327.4500000000007</v>
      </c>
      <c r="L748">
        <v>0.127699944196591</v>
      </c>
      <c r="M748">
        <v>2020</v>
      </c>
      <c r="N748" t="s">
        <v>1178</v>
      </c>
      <c r="O748">
        <v>10</v>
      </c>
      <c r="P748" t="s">
        <v>1216</v>
      </c>
    </row>
    <row r="749" spans="1:16" x14ac:dyDescent="0.3">
      <c r="A749" t="s">
        <v>143</v>
      </c>
      <c r="B749">
        <v>42814.57</v>
      </c>
      <c r="C749">
        <v>35356.269999999997</v>
      </c>
      <c r="D749" s="1">
        <v>43467</v>
      </c>
      <c r="E749" t="s">
        <v>76</v>
      </c>
      <c r="F749" t="s">
        <v>89</v>
      </c>
      <c r="G749" t="s">
        <v>145</v>
      </c>
      <c r="H749" t="s">
        <v>146</v>
      </c>
      <c r="I749" t="s">
        <v>27</v>
      </c>
      <c r="J749" t="s">
        <v>908</v>
      </c>
      <c r="K749">
        <v>7458.3</v>
      </c>
      <c r="L749">
        <v>0.174200044517556</v>
      </c>
      <c r="M749">
        <v>2019</v>
      </c>
      <c r="N749" t="s">
        <v>1177</v>
      </c>
      <c r="O749">
        <v>1</v>
      </c>
      <c r="P749" t="s">
        <v>1217</v>
      </c>
    </row>
    <row r="750" spans="1:16" x14ac:dyDescent="0.3">
      <c r="A750" t="s">
        <v>39</v>
      </c>
      <c r="B750">
        <v>118409.59</v>
      </c>
      <c r="C750">
        <v>96030.18</v>
      </c>
      <c r="D750" s="1">
        <v>43992</v>
      </c>
      <c r="E750" t="s">
        <v>11</v>
      </c>
      <c r="F750" t="s">
        <v>144</v>
      </c>
      <c r="G750" t="s">
        <v>42</v>
      </c>
      <c r="H750" t="s">
        <v>43</v>
      </c>
      <c r="I750" t="s">
        <v>27</v>
      </c>
      <c r="J750" t="s">
        <v>909</v>
      </c>
      <c r="K750">
        <v>22379.41</v>
      </c>
      <c r="L750">
        <v>0.188999978802393</v>
      </c>
      <c r="M750">
        <v>2020</v>
      </c>
      <c r="N750" t="s">
        <v>1179</v>
      </c>
      <c r="O750">
        <v>6</v>
      </c>
      <c r="P750" t="s">
        <v>1214</v>
      </c>
    </row>
    <row r="751" spans="1:16" x14ac:dyDescent="0.3">
      <c r="A751" t="s">
        <v>10</v>
      </c>
      <c r="B751">
        <v>33617.03</v>
      </c>
      <c r="C751">
        <v>26614.6</v>
      </c>
      <c r="D751" s="1">
        <v>44016</v>
      </c>
      <c r="E751" t="s">
        <v>23</v>
      </c>
      <c r="F751" t="s">
        <v>97</v>
      </c>
      <c r="G751" t="s">
        <v>13</v>
      </c>
      <c r="H751" t="s">
        <v>72</v>
      </c>
      <c r="I751" t="s">
        <v>27</v>
      </c>
      <c r="J751" t="s">
        <v>910</v>
      </c>
      <c r="K751">
        <v>7002.43</v>
      </c>
      <c r="L751">
        <v>0.20830007885884</v>
      </c>
      <c r="M751">
        <v>2020</v>
      </c>
      <c r="N751" t="s">
        <v>1174</v>
      </c>
      <c r="O751">
        <v>7</v>
      </c>
      <c r="P751" t="s">
        <v>1214</v>
      </c>
    </row>
    <row r="752" spans="1:16" x14ac:dyDescent="0.3">
      <c r="A752" t="s">
        <v>129</v>
      </c>
      <c r="B752">
        <v>205582.75</v>
      </c>
      <c r="C752">
        <v>166748.17000000001</v>
      </c>
      <c r="D752" s="1">
        <v>44187</v>
      </c>
      <c r="E752" t="s">
        <v>76</v>
      </c>
      <c r="F752" t="s">
        <v>656</v>
      </c>
      <c r="G752" t="s">
        <v>130</v>
      </c>
      <c r="H752" t="s">
        <v>159</v>
      </c>
      <c r="I752" t="s">
        <v>27</v>
      </c>
      <c r="J752" t="s">
        <v>911</v>
      </c>
      <c r="K752">
        <v>38834.58</v>
      </c>
      <c r="L752">
        <v>0.188899992825274</v>
      </c>
      <c r="M752">
        <v>2020</v>
      </c>
      <c r="N752" t="s">
        <v>1182</v>
      </c>
      <c r="O752">
        <v>12</v>
      </c>
      <c r="P752" t="s">
        <v>1217</v>
      </c>
    </row>
    <row r="753" spans="1:16" x14ac:dyDescent="0.3">
      <c r="A753" t="s">
        <v>17</v>
      </c>
      <c r="B753">
        <v>80431.34</v>
      </c>
      <c r="C753">
        <v>69774.19</v>
      </c>
      <c r="D753" s="1">
        <v>43668</v>
      </c>
      <c r="E753" t="s">
        <v>76</v>
      </c>
      <c r="F753" t="s">
        <v>106</v>
      </c>
      <c r="G753" t="s">
        <v>19</v>
      </c>
      <c r="H753" t="s">
        <v>31</v>
      </c>
      <c r="I753" t="s">
        <v>27</v>
      </c>
      <c r="J753" t="s">
        <v>912</v>
      </c>
      <c r="K753">
        <v>10657.15</v>
      </c>
      <c r="L753">
        <v>0.13249996829593999</v>
      </c>
      <c r="M753">
        <v>2019</v>
      </c>
      <c r="N753" t="s">
        <v>1174</v>
      </c>
      <c r="O753">
        <v>7</v>
      </c>
      <c r="P753" t="s">
        <v>1214</v>
      </c>
    </row>
    <row r="754" spans="1:16" x14ac:dyDescent="0.3">
      <c r="A754" t="s">
        <v>22</v>
      </c>
      <c r="B754">
        <v>75912.59</v>
      </c>
      <c r="C754">
        <v>60145.55</v>
      </c>
      <c r="D754" s="1">
        <v>43752</v>
      </c>
      <c r="E754" t="s">
        <v>181</v>
      </c>
      <c r="F754" t="s">
        <v>18</v>
      </c>
      <c r="G754" t="s">
        <v>25</v>
      </c>
      <c r="H754" t="s">
        <v>26</v>
      </c>
      <c r="I754" t="s">
        <v>32</v>
      </c>
      <c r="J754" t="s">
        <v>913</v>
      </c>
      <c r="K754">
        <v>15767.04</v>
      </c>
      <c r="L754">
        <v>0.20769993488563601</v>
      </c>
      <c r="M754">
        <v>2019</v>
      </c>
      <c r="N754" t="s">
        <v>1178</v>
      </c>
      <c r="O754">
        <v>10</v>
      </c>
      <c r="P754" t="s">
        <v>1216</v>
      </c>
    </row>
    <row r="755" spans="1:16" x14ac:dyDescent="0.3">
      <c r="A755" t="s">
        <v>10</v>
      </c>
      <c r="B755">
        <v>145558</v>
      </c>
      <c r="C755">
        <v>116257.18</v>
      </c>
      <c r="D755" s="1">
        <v>43819</v>
      </c>
      <c r="E755" t="s">
        <v>40</v>
      </c>
      <c r="F755" t="s">
        <v>12</v>
      </c>
      <c r="G755" t="s">
        <v>13</v>
      </c>
      <c r="H755" t="s">
        <v>14</v>
      </c>
      <c r="I755" t="s">
        <v>15</v>
      </c>
      <c r="J755" t="s">
        <v>914</v>
      </c>
      <c r="K755">
        <v>29300.82</v>
      </c>
      <c r="L755">
        <v>0.20129996290138599</v>
      </c>
      <c r="M755">
        <v>2019</v>
      </c>
      <c r="N755" t="s">
        <v>1182</v>
      </c>
      <c r="O755">
        <v>12</v>
      </c>
      <c r="P755" t="s">
        <v>1217</v>
      </c>
    </row>
    <row r="756" spans="1:16" x14ac:dyDescent="0.3">
      <c r="A756" t="s">
        <v>22</v>
      </c>
      <c r="B756">
        <v>59670.68</v>
      </c>
      <c r="C756">
        <v>51269.05</v>
      </c>
      <c r="D756" s="1">
        <v>43747</v>
      </c>
      <c r="E756" t="s">
        <v>23</v>
      </c>
      <c r="F756" t="s">
        <v>86</v>
      </c>
      <c r="G756" t="s">
        <v>25</v>
      </c>
      <c r="H756" t="s">
        <v>52</v>
      </c>
      <c r="I756" t="s">
        <v>27</v>
      </c>
      <c r="J756" t="s">
        <v>915</v>
      </c>
      <c r="K756">
        <v>8401.6299999999992</v>
      </c>
      <c r="L756">
        <v>0.14079997077291601</v>
      </c>
      <c r="M756">
        <v>2019</v>
      </c>
      <c r="N756" t="s">
        <v>1178</v>
      </c>
      <c r="O756">
        <v>10</v>
      </c>
      <c r="P756" t="s">
        <v>1216</v>
      </c>
    </row>
    <row r="757" spans="1:16" x14ac:dyDescent="0.3">
      <c r="A757" t="s">
        <v>22</v>
      </c>
      <c r="B757">
        <v>89830.34</v>
      </c>
      <c r="C757">
        <v>76795.960000000006</v>
      </c>
      <c r="D757" s="1">
        <v>43574</v>
      </c>
      <c r="E757" t="s">
        <v>11</v>
      </c>
      <c r="F757" t="s">
        <v>56</v>
      </c>
      <c r="G757" t="s">
        <v>25</v>
      </c>
      <c r="H757" t="s">
        <v>52</v>
      </c>
      <c r="I757" t="s">
        <v>15</v>
      </c>
      <c r="J757" t="s">
        <v>916</v>
      </c>
      <c r="K757">
        <v>13034.38</v>
      </c>
      <c r="L757">
        <v>0.14509997401768701</v>
      </c>
      <c r="M757">
        <v>2019</v>
      </c>
      <c r="N757" t="s">
        <v>1172</v>
      </c>
      <c r="O757">
        <v>4</v>
      </c>
      <c r="P757" t="s">
        <v>1215</v>
      </c>
    </row>
    <row r="758" spans="1:16" x14ac:dyDescent="0.3">
      <c r="A758" t="s">
        <v>10</v>
      </c>
      <c r="B758">
        <v>103638.67</v>
      </c>
      <c r="C758">
        <v>84030.23</v>
      </c>
      <c r="D758" s="1">
        <v>44126</v>
      </c>
      <c r="E758" t="s">
        <v>29</v>
      </c>
      <c r="F758" t="s">
        <v>227</v>
      </c>
      <c r="G758" t="s">
        <v>13</v>
      </c>
      <c r="H758" t="s">
        <v>81</v>
      </c>
      <c r="I758" t="s">
        <v>27</v>
      </c>
      <c r="J758" t="s">
        <v>917</v>
      </c>
      <c r="K758">
        <v>19608.439999999999</v>
      </c>
      <c r="L758">
        <v>0.18920003508343</v>
      </c>
      <c r="M758">
        <v>2020</v>
      </c>
      <c r="N758" t="s">
        <v>1178</v>
      </c>
      <c r="O758">
        <v>10</v>
      </c>
      <c r="P758" t="s">
        <v>1216</v>
      </c>
    </row>
    <row r="759" spans="1:16" x14ac:dyDescent="0.3">
      <c r="A759" t="s">
        <v>22</v>
      </c>
      <c r="B759">
        <v>123424.43</v>
      </c>
      <c r="C759">
        <v>98171.79</v>
      </c>
      <c r="D759" s="1">
        <v>43773</v>
      </c>
      <c r="E759" t="s">
        <v>40</v>
      </c>
      <c r="F759" t="s">
        <v>102</v>
      </c>
      <c r="G759" t="s">
        <v>25</v>
      </c>
      <c r="H759" t="s">
        <v>26</v>
      </c>
      <c r="I759" t="s">
        <v>27</v>
      </c>
      <c r="J759" t="s">
        <v>918</v>
      </c>
      <c r="K759">
        <v>25252.639999999999</v>
      </c>
      <c r="L759">
        <v>0.204600013141645</v>
      </c>
      <c r="M759">
        <v>2019</v>
      </c>
      <c r="N759" t="s">
        <v>1180</v>
      </c>
      <c r="O759">
        <v>11</v>
      </c>
      <c r="P759" t="s">
        <v>1216</v>
      </c>
    </row>
    <row r="760" spans="1:16" x14ac:dyDescent="0.3">
      <c r="A760" t="s">
        <v>17</v>
      </c>
      <c r="B760">
        <v>86050.61</v>
      </c>
      <c r="C760">
        <v>75569.649999999994</v>
      </c>
      <c r="D760" s="1">
        <v>43899</v>
      </c>
      <c r="E760" t="s">
        <v>40</v>
      </c>
      <c r="F760" t="s">
        <v>367</v>
      </c>
      <c r="G760" t="s">
        <v>19</v>
      </c>
      <c r="H760" t="s">
        <v>31</v>
      </c>
      <c r="I760" t="s">
        <v>27</v>
      </c>
      <c r="J760" t="s">
        <v>919</v>
      </c>
      <c r="K760">
        <v>10480.959999999999</v>
      </c>
      <c r="L760">
        <v>0.121799950052649</v>
      </c>
      <c r="M760">
        <v>2020</v>
      </c>
      <c r="N760" t="s">
        <v>1176</v>
      </c>
      <c r="O760">
        <v>3</v>
      </c>
      <c r="P760" t="s">
        <v>1215</v>
      </c>
    </row>
    <row r="761" spans="1:16" x14ac:dyDescent="0.3">
      <c r="A761" t="s">
        <v>17</v>
      </c>
      <c r="B761">
        <v>119156.18</v>
      </c>
      <c r="C761">
        <v>100710.8</v>
      </c>
      <c r="D761" s="1">
        <v>43697</v>
      </c>
      <c r="E761" t="s">
        <v>76</v>
      </c>
      <c r="F761" t="s">
        <v>56</v>
      </c>
      <c r="G761" t="s">
        <v>19</v>
      </c>
      <c r="H761" t="s">
        <v>157</v>
      </c>
      <c r="I761" t="s">
        <v>27</v>
      </c>
      <c r="J761" t="s">
        <v>920</v>
      </c>
      <c r="K761">
        <v>18445.38</v>
      </c>
      <c r="L761">
        <v>0.15480002799686901</v>
      </c>
      <c r="M761">
        <v>2019</v>
      </c>
      <c r="N761" t="s">
        <v>1171</v>
      </c>
      <c r="O761">
        <v>8</v>
      </c>
      <c r="P761" t="s">
        <v>1214</v>
      </c>
    </row>
    <row r="762" spans="1:16" x14ac:dyDescent="0.3">
      <c r="A762" t="s">
        <v>216</v>
      </c>
      <c r="B762">
        <v>99731.4</v>
      </c>
      <c r="C762">
        <v>84731.8</v>
      </c>
      <c r="D762" s="1">
        <v>44166</v>
      </c>
      <c r="E762" t="s">
        <v>29</v>
      </c>
      <c r="F762" t="s">
        <v>195</v>
      </c>
      <c r="G762" t="s">
        <v>217</v>
      </c>
      <c r="H762" t="s">
        <v>218</v>
      </c>
      <c r="I762" t="s">
        <v>27</v>
      </c>
      <c r="J762" t="s">
        <v>921</v>
      </c>
      <c r="K762">
        <v>14999.6</v>
      </c>
      <c r="L762">
        <v>0.15039997433105301</v>
      </c>
      <c r="M762">
        <v>2020</v>
      </c>
      <c r="N762" t="s">
        <v>1182</v>
      </c>
      <c r="O762">
        <v>12</v>
      </c>
      <c r="P762" t="s">
        <v>1217</v>
      </c>
    </row>
    <row r="763" spans="1:16" x14ac:dyDescent="0.3">
      <c r="A763" t="s">
        <v>22</v>
      </c>
      <c r="B763">
        <v>101321.52</v>
      </c>
      <c r="C763">
        <v>86710.96</v>
      </c>
      <c r="D763" s="1">
        <v>43513</v>
      </c>
      <c r="E763" t="s">
        <v>11</v>
      </c>
      <c r="F763" t="s">
        <v>174</v>
      </c>
      <c r="G763" t="s">
        <v>25</v>
      </c>
      <c r="H763" t="s">
        <v>87</v>
      </c>
      <c r="I763" t="s">
        <v>27</v>
      </c>
      <c r="J763" t="s">
        <v>922</v>
      </c>
      <c r="K763">
        <v>14610.56</v>
      </c>
      <c r="L763">
        <v>0.144199968575284</v>
      </c>
      <c r="M763">
        <v>2019</v>
      </c>
      <c r="N763" t="s">
        <v>1181</v>
      </c>
      <c r="O763">
        <v>2</v>
      </c>
      <c r="P763" t="s">
        <v>1217</v>
      </c>
    </row>
    <row r="764" spans="1:16" x14ac:dyDescent="0.3">
      <c r="A764" t="s">
        <v>22</v>
      </c>
      <c r="B764">
        <v>53485</v>
      </c>
      <c r="C764">
        <v>46713.8</v>
      </c>
      <c r="D764" s="1">
        <v>43879</v>
      </c>
      <c r="E764" t="s">
        <v>40</v>
      </c>
      <c r="F764" t="s">
        <v>56</v>
      </c>
      <c r="G764" t="s">
        <v>25</v>
      </c>
      <c r="H764" t="s">
        <v>26</v>
      </c>
      <c r="I764" t="s">
        <v>27</v>
      </c>
      <c r="J764" t="s">
        <v>923</v>
      </c>
      <c r="K764">
        <v>6771.2</v>
      </c>
      <c r="L764">
        <v>0.12659998130316899</v>
      </c>
      <c r="M764">
        <v>2020</v>
      </c>
      <c r="N764" t="s">
        <v>1181</v>
      </c>
      <c r="O764">
        <v>2</v>
      </c>
      <c r="P764" t="s">
        <v>1217</v>
      </c>
    </row>
    <row r="765" spans="1:16" x14ac:dyDescent="0.3">
      <c r="A765" t="s">
        <v>129</v>
      </c>
      <c r="B765">
        <v>200635.57</v>
      </c>
      <c r="C765">
        <v>172245.64</v>
      </c>
      <c r="D765" s="1">
        <v>43781</v>
      </c>
      <c r="E765" t="s">
        <v>40</v>
      </c>
      <c r="F765" t="s">
        <v>244</v>
      </c>
      <c r="G765" t="s">
        <v>130</v>
      </c>
      <c r="H765" t="s">
        <v>159</v>
      </c>
      <c r="I765" t="s">
        <v>27</v>
      </c>
      <c r="J765" t="s">
        <v>924</v>
      </c>
      <c r="K765">
        <v>28389.93</v>
      </c>
      <c r="L765">
        <v>0.14149998427497201</v>
      </c>
      <c r="M765">
        <v>2019</v>
      </c>
      <c r="N765" t="s">
        <v>1180</v>
      </c>
      <c r="O765">
        <v>11</v>
      </c>
      <c r="P765" t="s">
        <v>1216</v>
      </c>
    </row>
    <row r="766" spans="1:16" x14ac:dyDescent="0.3">
      <c r="A766" t="s">
        <v>34</v>
      </c>
      <c r="B766">
        <v>242526</v>
      </c>
      <c r="C766">
        <v>212113.24</v>
      </c>
      <c r="D766" s="1">
        <v>43530</v>
      </c>
      <c r="E766" t="s">
        <v>40</v>
      </c>
      <c r="F766" t="s">
        <v>24</v>
      </c>
      <c r="G766" t="s">
        <v>36</v>
      </c>
      <c r="H766" t="s">
        <v>104</v>
      </c>
      <c r="I766" t="s">
        <v>27</v>
      </c>
      <c r="J766" t="s">
        <v>925</v>
      </c>
      <c r="K766">
        <v>30412.76</v>
      </c>
      <c r="L766">
        <v>0.12539999835069199</v>
      </c>
      <c r="M766">
        <v>2019</v>
      </c>
      <c r="N766" t="s">
        <v>1176</v>
      </c>
      <c r="O766">
        <v>3</v>
      </c>
      <c r="P766" t="s">
        <v>1215</v>
      </c>
    </row>
    <row r="767" spans="1:16" x14ac:dyDescent="0.3">
      <c r="A767" t="s">
        <v>10</v>
      </c>
      <c r="B767">
        <v>57913.36</v>
      </c>
      <c r="C767">
        <v>48693.55</v>
      </c>
      <c r="D767" s="1">
        <v>43778</v>
      </c>
      <c r="E767" t="s">
        <v>11</v>
      </c>
      <c r="F767" t="s">
        <v>300</v>
      </c>
      <c r="G767" t="s">
        <v>13</v>
      </c>
      <c r="H767" t="s">
        <v>46</v>
      </c>
      <c r="I767" t="s">
        <v>27</v>
      </c>
      <c r="J767" t="s">
        <v>926</v>
      </c>
      <c r="K767">
        <v>9219.81</v>
      </c>
      <c r="L767">
        <v>0.15920005332102999</v>
      </c>
      <c r="M767">
        <v>2019</v>
      </c>
      <c r="N767" t="s">
        <v>1180</v>
      </c>
      <c r="O767">
        <v>11</v>
      </c>
      <c r="P767" t="s">
        <v>1216</v>
      </c>
    </row>
    <row r="768" spans="1:16" x14ac:dyDescent="0.3">
      <c r="A768" t="s">
        <v>10</v>
      </c>
      <c r="B768">
        <v>325331.99</v>
      </c>
      <c r="C768">
        <v>264592.51</v>
      </c>
      <c r="D768" s="1">
        <v>43822</v>
      </c>
      <c r="E768" t="s">
        <v>11</v>
      </c>
      <c r="F768" t="s">
        <v>97</v>
      </c>
      <c r="G768" t="s">
        <v>13</v>
      </c>
      <c r="H768" t="s">
        <v>110</v>
      </c>
      <c r="I768" t="s">
        <v>32</v>
      </c>
      <c r="J768" t="s">
        <v>927</v>
      </c>
      <c r="K768">
        <v>60739.48</v>
      </c>
      <c r="L768">
        <v>0.18669999221410699</v>
      </c>
      <c r="M768">
        <v>2019</v>
      </c>
      <c r="N768" t="s">
        <v>1182</v>
      </c>
      <c r="O768">
        <v>12</v>
      </c>
      <c r="P768" t="s">
        <v>1217</v>
      </c>
    </row>
    <row r="769" spans="1:16" x14ac:dyDescent="0.3">
      <c r="A769" t="s">
        <v>17</v>
      </c>
      <c r="B769">
        <v>40148.49</v>
      </c>
      <c r="C769">
        <v>31954.18</v>
      </c>
      <c r="D769" s="1">
        <v>43498</v>
      </c>
      <c r="E769" t="s">
        <v>29</v>
      </c>
      <c r="F769" t="s">
        <v>434</v>
      </c>
      <c r="G769" t="s">
        <v>19</v>
      </c>
      <c r="H769" t="s">
        <v>20</v>
      </c>
      <c r="I769" t="s">
        <v>27</v>
      </c>
      <c r="J769" t="s">
        <v>928</v>
      </c>
      <c r="K769">
        <v>8194.31</v>
      </c>
      <c r="L769">
        <v>0.20410007947995101</v>
      </c>
      <c r="M769">
        <v>2019</v>
      </c>
      <c r="N769" t="s">
        <v>1181</v>
      </c>
      <c r="O769">
        <v>2</v>
      </c>
      <c r="P769" t="s">
        <v>1217</v>
      </c>
    </row>
    <row r="770" spans="1:16" x14ac:dyDescent="0.3">
      <c r="A770" t="s">
        <v>34</v>
      </c>
      <c r="B770">
        <v>59043.39</v>
      </c>
      <c r="C770">
        <v>48876.12</v>
      </c>
      <c r="D770" s="1">
        <v>44131</v>
      </c>
      <c r="E770" t="s">
        <v>51</v>
      </c>
      <c r="F770" t="s">
        <v>300</v>
      </c>
      <c r="G770" t="s">
        <v>36</v>
      </c>
      <c r="H770" t="s">
        <v>37</v>
      </c>
      <c r="I770" t="s">
        <v>27</v>
      </c>
      <c r="J770" t="s">
        <v>929</v>
      </c>
      <c r="K770">
        <v>10167.27</v>
      </c>
      <c r="L770">
        <v>0.17219997022528699</v>
      </c>
      <c r="M770">
        <v>2020</v>
      </c>
      <c r="N770" t="s">
        <v>1178</v>
      </c>
      <c r="O770">
        <v>10</v>
      </c>
      <c r="P770" t="s">
        <v>1216</v>
      </c>
    </row>
    <row r="771" spans="1:16" x14ac:dyDescent="0.3">
      <c r="A771" t="s">
        <v>10</v>
      </c>
      <c r="B771">
        <v>72757.009999999995</v>
      </c>
      <c r="C771">
        <v>63378.63</v>
      </c>
      <c r="D771" s="1">
        <v>43954</v>
      </c>
      <c r="E771" t="s">
        <v>99</v>
      </c>
      <c r="F771" t="s">
        <v>106</v>
      </c>
      <c r="G771" t="s">
        <v>13</v>
      </c>
      <c r="H771" t="s">
        <v>46</v>
      </c>
      <c r="I771" t="s">
        <v>27</v>
      </c>
      <c r="J771" t="s">
        <v>930</v>
      </c>
      <c r="K771">
        <v>9378.3799999999992</v>
      </c>
      <c r="L771">
        <v>0.12890001939331999</v>
      </c>
      <c r="M771">
        <v>2020</v>
      </c>
      <c r="N771" t="s">
        <v>1173</v>
      </c>
      <c r="O771">
        <v>5</v>
      </c>
      <c r="P771" t="s">
        <v>1215</v>
      </c>
    </row>
    <row r="772" spans="1:16" x14ac:dyDescent="0.3">
      <c r="A772" t="s">
        <v>34</v>
      </c>
      <c r="B772">
        <v>74295.81</v>
      </c>
      <c r="C772">
        <v>63716.09</v>
      </c>
      <c r="D772" s="1">
        <v>43773</v>
      </c>
      <c r="E772" t="s">
        <v>11</v>
      </c>
      <c r="F772" t="s">
        <v>214</v>
      </c>
      <c r="G772" t="s">
        <v>36</v>
      </c>
      <c r="H772" t="s">
        <v>37</v>
      </c>
      <c r="I772" t="s">
        <v>27</v>
      </c>
      <c r="J772" t="s">
        <v>931</v>
      </c>
      <c r="K772">
        <v>10579.72</v>
      </c>
      <c r="L772">
        <v>0.14239995499073199</v>
      </c>
      <c r="M772">
        <v>2019</v>
      </c>
      <c r="N772" t="s">
        <v>1180</v>
      </c>
      <c r="O772">
        <v>11</v>
      </c>
      <c r="P772" t="s">
        <v>1216</v>
      </c>
    </row>
    <row r="773" spans="1:16" x14ac:dyDescent="0.3">
      <c r="A773" t="s">
        <v>66</v>
      </c>
      <c r="B773">
        <v>172397.66</v>
      </c>
      <c r="C773">
        <v>139986.9</v>
      </c>
      <c r="D773" s="1">
        <v>43492</v>
      </c>
      <c r="E773" t="s">
        <v>40</v>
      </c>
      <c r="F773" t="s">
        <v>56</v>
      </c>
      <c r="G773" t="s">
        <v>68</v>
      </c>
      <c r="H773" t="s">
        <v>69</v>
      </c>
      <c r="I773" t="s">
        <v>27</v>
      </c>
      <c r="J773" t="s">
        <v>932</v>
      </c>
      <c r="K773">
        <v>32410.76</v>
      </c>
      <c r="L773">
        <v>0.187999999535957</v>
      </c>
      <c r="M773">
        <v>2019</v>
      </c>
      <c r="N773" t="s">
        <v>1177</v>
      </c>
      <c r="O773">
        <v>1</v>
      </c>
      <c r="P773" t="s">
        <v>1217</v>
      </c>
    </row>
    <row r="774" spans="1:16" x14ac:dyDescent="0.3">
      <c r="A774" t="s">
        <v>22</v>
      </c>
      <c r="B774">
        <v>137562.42000000001</v>
      </c>
      <c r="C774">
        <v>112140.88</v>
      </c>
      <c r="D774" s="1">
        <v>43935</v>
      </c>
      <c r="E774" t="s">
        <v>40</v>
      </c>
      <c r="F774" t="s">
        <v>174</v>
      </c>
      <c r="G774" t="s">
        <v>25</v>
      </c>
      <c r="H774" t="s">
        <v>63</v>
      </c>
      <c r="I774" t="s">
        <v>27</v>
      </c>
      <c r="J774" t="s">
        <v>933</v>
      </c>
      <c r="K774">
        <v>25421.54</v>
      </c>
      <c r="L774">
        <v>0.18480003477693999</v>
      </c>
      <c r="M774">
        <v>2020</v>
      </c>
      <c r="N774" t="s">
        <v>1172</v>
      </c>
      <c r="O774">
        <v>4</v>
      </c>
      <c r="P774" t="s">
        <v>1215</v>
      </c>
    </row>
    <row r="775" spans="1:16" x14ac:dyDescent="0.3">
      <c r="A775" t="s">
        <v>17</v>
      </c>
      <c r="B775">
        <v>109562.5</v>
      </c>
      <c r="C775">
        <v>89917.94</v>
      </c>
      <c r="D775" s="1">
        <v>43959</v>
      </c>
      <c r="E775" t="s">
        <v>23</v>
      </c>
      <c r="F775" t="s">
        <v>92</v>
      </c>
      <c r="G775" t="s">
        <v>19</v>
      </c>
      <c r="H775" t="s">
        <v>78</v>
      </c>
      <c r="I775" t="s">
        <v>27</v>
      </c>
      <c r="J775" t="s">
        <v>934</v>
      </c>
      <c r="K775">
        <v>19644.560000000001</v>
      </c>
      <c r="L775">
        <v>0.179300034227039</v>
      </c>
      <c r="M775">
        <v>2020</v>
      </c>
      <c r="N775" t="s">
        <v>1173</v>
      </c>
      <c r="O775">
        <v>5</v>
      </c>
      <c r="P775" t="s">
        <v>1215</v>
      </c>
    </row>
    <row r="776" spans="1:16" x14ac:dyDescent="0.3">
      <c r="A776" t="s">
        <v>34</v>
      </c>
      <c r="B776">
        <v>73727.91</v>
      </c>
      <c r="C776">
        <v>64047.44</v>
      </c>
      <c r="D776" s="1">
        <v>44145</v>
      </c>
      <c r="E776" t="s">
        <v>91</v>
      </c>
      <c r="F776" t="s">
        <v>164</v>
      </c>
      <c r="G776" t="s">
        <v>36</v>
      </c>
      <c r="H776" t="s">
        <v>104</v>
      </c>
      <c r="I776" t="s">
        <v>27</v>
      </c>
      <c r="J776" t="s">
        <v>935</v>
      </c>
      <c r="K776">
        <v>9680.4699999999993</v>
      </c>
      <c r="L776">
        <v>0.13129993783900801</v>
      </c>
      <c r="M776">
        <v>2020</v>
      </c>
      <c r="N776" t="s">
        <v>1180</v>
      </c>
      <c r="O776">
        <v>11</v>
      </c>
      <c r="P776" t="s">
        <v>1216</v>
      </c>
    </row>
    <row r="777" spans="1:16" x14ac:dyDescent="0.3">
      <c r="A777" t="s">
        <v>247</v>
      </c>
      <c r="B777">
        <v>152370.57</v>
      </c>
      <c r="C777">
        <v>128478.86</v>
      </c>
      <c r="D777" s="1">
        <v>43789</v>
      </c>
      <c r="E777" t="s">
        <v>11</v>
      </c>
      <c r="F777" t="s">
        <v>135</v>
      </c>
      <c r="G777" t="s">
        <v>248</v>
      </c>
      <c r="H777" t="s">
        <v>249</v>
      </c>
      <c r="I777" t="s">
        <v>27</v>
      </c>
      <c r="J777" t="s">
        <v>936</v>
      </c>
      <c r="K777">
        <v>23891.71</v>
      </c>
      <c r="L777">
        <v>0.15680003034706799</v>
      </c>
      <c r="M777">
        <v>2019</v>
      </c>
      <c r="N777" t="s">
        <v>1180</v>
      </c>
      <c r="O777">
        <v>11</v>
      </c>
      <c r="P777" t="s">
        <v>1216</v>
      </c>
    </row>
    <row r="778" spans="1:16" x14ac:dyDescent="0.3">
      <c r="A778" t="s">
        <v>17</v>
      </c>
      <c r="B778">
        <v>174392.33</v>
      </c>
      <c r="C778">
        <v>141449.62</v>
      </c>
      <c r="D778" s="1">
        <v>43898</v>
      </c>
      <c r="E778" t="s">
        <v>51</v>
      </c>
      <c r="F778" t="s">
        <v>41</v>
      </c>
      <c r="G778" t="s">
        <v>19</v>
      </c>
      <c r="H778" t="s">
        <v>157</v>
      </c>
      <c r="I778" t="s">
        <v>27</v>
      </c>
      <c r="J778" t="s">
        <v>937</v>
      </c>
      <c r="K778">
        <v>32942.71</v>
      </c>
      <c r="L778">
        <v>0.18889999348021799</v>
      </c>
      <c r="M778">
        <v>2020</v>
      </c>
      <c r="N778" t="s">
        <v>1176</v>
      </c>
      <c r="O778">
        <v>3</v>
      </c>
      <c r="P778" t="s">
        <v>1215</v>
      </c>
    </row>
    <row r="779" spans="1:16" x14ac:dyDescent="0.3">
      <c r="A779" t="s">
        <v>151</v>
      </c>
      <c r="B779">
        <v>271465.15000000002</v>
      </c>
      <c r="C779">
        <v>217959.37</v>
      </c>
      <c r="D779" s="1">
        <v>43531</v>
      </c>
      <c r="E779" t="s">
        <v>29</v>
      </c>
      <c r="F779" t="s">
        <v>229</v>
      </c>
      <c r="G779" t="s">
        <v>152</v>
      </c>
      <c r="H779" t="s">
        <v>197</v>
      </c>
      <c r="I779" t="s">
        <v>32</v>
      </c>
      <c r="J779" t="s">
        <v>938</v>
      </c>
      <c r="K779">
        <v>53505.78</v>
      </c>
      <c r="L779">
        <v>0.197099996076844</v>
      </c>
      <c r="M779">
        <v>2019</v>
      </c>
      <c r="N779" t="s">
        <v>1176</v>
      </c>
      <c r="O779">
        <v>3</v>
      </c>
      <c r="P779" t="s">
        <v>1215</v>
      </c>
    </row>
    <row r="780" spans="1:16" x14ac:dyDescent="0.3">
      <c r="A780" t="s">
        <v>17</v>
      </c>
      <c r="B780">
        <v>111557.68</v>
      </c>
      <c r="C780">
        <v>92470.16</v>
      </c>
      <c r="D780" s="1">
        <v>43876</v>
      </c>
      <c r="E780" t="s">
        <v>91</v>
      </c>
      <c r="F780" t="s">
        <v>106</v>
      </c>
      <c r="G780" t="s">
        <v>19</v>
      </c>
      <c r="H780" t="s">
        <v>31</v>
      </c>
      <c r="I780" t="s">
        <v>27</v>
      </c>
      <c r="J780" t="s">
        <v>939</v>
      </c>
      <c r="K780">
        <v>19087.52</v>
      </c>
      <c r="L780">
        <v>0.171100008533702</v>
      </c>
      <c r="M780">
        <v>2020</v>
      </c>
      <c r="N780" t="s">
        <v>1181</v>
      </c>
      <c r="O780">
        <v>2</v>
      </c>
      <c r="P780" t="s">
        <v>1217</v>
      </c>
    </row>
    <row r="781" spans="1:16" x14ac:dyDescent="0.3">
      <c r="A781" t="s">
        <v>22</v>
      </c>
      <c r="B781">
        <v>87513.27</v>
      </c>
      <c r="C781">
        <v>72469.740000000005</v>
      </c>
      <c r="D781" s="1">
        <v>43954</v>
      </c>
      <c r="E781" t="s">
        <v>91</v>
      </c>
      <c r="F781" t="s">
        <v>312</v>
      </c>
      <c r="G781" t="s">
        <v>25</v>
      </c>
      <c r="H781" t="s">
        <v>26</v>
      </c>
      <c r="I781" t="s">
        <v>32</v>
      </c>
      <c r="J781" t="s">
        <v>940</v>
      </c>
      <c r="K781">
        <v>15043.53</v>
      </c>
      <c r="L781">
        <v>0.17189998728192901</v>
      </c>
      <c r="M781">
        <v>2020</v>
      </c>
      <c r="N781" t="s">
        <v>1173</v>
      </c>
      <c r="O781">
        <v>5</v>
      </c>
      <c r="P781" t="s">
        <v>1215</v>
      </c>
    </row>
    <row r="782" spans="1:16" x14ac:dyDescent="0.3">
      <c r="A782" t="s">
        <v>17</v>
      </c>
      <c r="B782">
        <v>107586.21</v>
      </c>
      <c r="C782">
        <v>94525.24</v>
      </c>
      <c r="D782" s="1">
        <v>44018</v>
      </c>
      <c r="E782" t="s">
        <v>29</v>
      </c>
      <c r="F782" t="s">
        <v>102</v>
      </c>
      <c r="G782" t="s">
        <v>19</v>
      </c>
      <c r="H782" t="s">
        <v>20</v>
      </c>
      <c r="I782" t="s">
        <v>27</v>
      </c>
      <c r="J782" t="s">
        <v>941</v>
      </c>
      <c r="K782">
        <v>13060.97</v>
      </c>
      <c r="L782">
        <v>0.121400038164742</v>
      </c>
      <c r="M782">
        <v>2020</v>
      </c>
      <c r="N782" t="s">
        <v>1174</v>
      </c>
      <c r="O782">
        <v>7</v>
      </c>
      <c r="P782" t="s">
        <v>1214</v>
      </c>
    </row>
    <row r="783" spans="1:16" x14ac:dyDescent="0.3">
      <c r="A783" t="s">
        <v>17</v>
      </c>
      <c r="B783">
        <v>34771.79</v>
      </c>
      <c r="C783">
        <v>28509.39</v>
      </c>
      <c r="D783" s="1">
        <v>43909</v>
      </c>
      <c r="E783" t="s">
        <v>51</v>
      </c>
      <c r="F783" t="s">
        <v>149</v>
      </c>
      <c r="G783" t="s">
        <v>19</v>
      </c>
      <c r="H783" t="s">
        <v>78</v>
      </c>
      <c r="I783" t="s">
        <v>27</v>
      </c>
      <c r="J783" t="s">
        <v>942</v>
      </c>
      <c r="K783">
        <v>6262.4</v>
      </c>
      <c r="L783">
        <v>0.18010001785930499</v>
      </c>
      <c r="M783">
        <v>2020</v>
      </c>
      <c r="N783" t="s">
        <v>1176</v>
      </c>
      <c r="O783">
        <v>3</v>
      </c>
      <c r="P783" t="s">
        <v>1215</v>
      </c>
    </row>
    <row r="784" spans="1:16" x14ac:dyDescent="0.3">
      <c r="A784" t="s">
        <v>10</v>
      </c>
      <c r="B784">
        <v>168530.22</v>
      </c>
      <c r="C784">
        <v>136981.35999999999</v>
      </c>
      <c r="D784" s="1">
        <v>43967</v>
      </c>
      <c r="E784" t="s">
        <v>23</v>
      </c>
      <c r="F784" t="s">
        <v>236</v>
      </c>
      <c r="G784" t="s">
        <v>13</v>
      </c>
      <c r="H784" t="s">
        <v>14</v>
      </c>
      <c r="I784" t="s">
        <v>27</v>
      </c>
      <c r="J784" t="s">
        <v>943</v>
      </c>
      <c r="K784">
        <v>31548.86</v>
      </c>
      <c r="L784">
        <v>0.187200016709169</v>
      </c>
      <c r="M784">
        <v>2020</v>
      </c>
      <c r="N784" t="s">
        <v>1173</v>
      </c>
      <c r="O784">
        <v>5</v>
      </c>
      <c r="P784" t="s">
        <v>1215</v>
      </c>
    </row>
    <row r="785" spans="1:16" x14ac:dyDescent="0.3">
      <c r="A785" t="s">
        <v>34</v>
      </c>
      <c r="B785">
        <v>166380.74</v>
      </c>
      <c r="C785">
        <v>146049.01</v>
      </c>
      <c r="D785" s="1">
        <v>44005</v>
      </c>
      <c r="E785" t="s">
        <v>51</v>
      </c>
      <c r="F785" t="s">
        <v>41</v>
      </c>
      <c r="G785" t="s">
        <v>36</v>
      </c>
      <c r="H785" t="s">
        <v>37</v>
      </c>
      <c r="I785" t="s">
        <v>27</v>
      </c>
      <c r="J785" t="s">
        <v>944</v>
      </c>
      <c r="K785">
        <v>20331.73</v>
      </c>
      <c r="L785">
        <v>0.12220002146883099</v>
      </c>
      <c r="M785">
        <v>2020</v>
      </c>
      <c r="N785" t="s">
        <v>1179</v>
      </c>
      <c r="O785">
        <v>6</v>
      </c>
      <c r="P785" t="s">
        <v>1214</v>
      </c>
    </row>
    <row r="786" spans="1:16" x14ac:dyDescent="0.3">
      <c r="A786" t="s">
        <v>22</v>
      </c>
      <c r="B786">
        <v>170408.23</v>
      </c>
      <c r="C786">
        <v>143432.60999999999</v>
      </c>
      <c r="D786" s="1">
        <v>43901</v>
      </c>
      <c r="E786" t="s">
        <v>40</v>
      </c>
      <c r="F786" t="s">
        <v>164</v>
      </c>
      <c r="G786" t="s">
        <v>25</v>
      </c>
      <c r="H786" t="s">
        <v>52</v>
      </c>
      <c r="I786" t="s">
        <v>32</v>
      </c>
      <c r="J786" t="s">
        <v>945</v>
      </c>
      <c r="K786">
        <v>26975.62</v>
      </c>
      <c r="L786">
        <v>0.15829998351605401</v>
      </c>
      <c r="M786">
        <v>2020</v>
      </c>
      <c r="N786" t="s">
        <v>1176</v>
      </c>
      <c r="O786">
        <v>3</v>
      </c>
      <c r="P786" t="s">
        <v>1215</v>
      </c>
    </row>
    <row r="787" spans="1:16" x14ac:dyDescent="0.3">
      <c r="A787" t="s">
        <v>34</v>
      </c>
      <c r="B787">
        <v>92179.76</v>
      </c>
      <c r="C787">
        <v>74794.66</v>
      </c>
      <c r="D787" s="1">
        <v>44037</v>
      </c>
      <c r="E787" t="s">
        <v>76</v>
      </c>
      <c r="F787" t="s">
        <v>92</v>
      </c>
      <c r="G787" t="s">
        <v>36</v>
      </c>
      <c r="H787" t="s">
        <v>93</v>
      </c>
      <c r="I787" t="s">
        <v>15</v>
      </c>
      <c r="J787" t="s">
        <v>946</v>
      </c>
      <c r="K787">
        <v>17385.099999999999</v>
      </c>
      <c r="L787">
        <v>0.188599970318864</v>
      </c>
      <c r="M787">
        <v>2020</v>
      </c>
      <c r="N787" t="s">
        <v>1174</v>
      </c>
      <c r="O787">
        <v>7</v>
      </c>
      <c r="P787" t="s">
        <v>1214</v>
      </c>
    </row>
    <row r="788" spans="1:16" x14ac:dyDescent="0.3">
      <c r="A788" t="s">
        <v>10</v>
      </c>
      <c r="B788">
        <v>204484.61</v>
      </c>
      <c r="C788">
        <v>177308.61</v>
      </c>
      <c r="D788" s="1">
        <v>43632</v>
      </c>
      <c r="E788" t="s">
        <v>11</v>
      </c>
      <c r="F788" t="s">
        <v>285</v>
      </c>
      <c r="G788" t="s">
        <v>13</v>
      </c>
      <c r="H788" t="s">
        <v>110</v>
      </c>
      <c r="I788" t="s">
        <v>15</v>
      </c>
      <c r="J788" t="s">
        <v>947</v>
      </c>
      <c r="K788">
        <v>27176</v>
      </c>
      <c r="L788">
        <v>0.13289997716698601</v>
      </c>
      <c r="M788">
        <v>2019</v>
      </c>
      <c r="N788" t="s">
        <v>1179</v>
      </c>
      <c r="O788">
        <v>6</v>
      </c>
      <c r="P788" t="s">
        <v>1214</v>
      </c>
    </row>
    <row r="789" spans="1:16" x14ac:dyDescent="0.3">
      <c r="A789" t="s">
        <v>129</v>
      </c>
      <c r="B789">
        <v>27824.83</v>
      </c>
      <c r="C789">
        <v>23517.55</v>
      </c>
      <c r="D789" s="1">
        <v>43625</v>
      </c>
      <c r="E789" t="s">
        <v>11</v>
      </c>
      <c r="F789" t="s">
        <v>367</v>
      </c>
      <c r="G789" t="s">
        <v>130</v>
      </c>
      <c r="H789" t="s">
        <v>159</v>
      </c>
      <c r="I789" t="s">
        <v>27</v>
      </c>
      <c r="J789" t="s">
        <v>948</v>
      </c>
      <c r="K789">
        <v>4307.28</v>
      </c>
      <c r="L789">
        <v>0.15479986760026901</v>
      </c>
      <c r="M789">
        <v>2019</v>
      </c>
      <c r="N789" t="s">
        <v>1179</v>
      </c>
      <c r="O789">
        <v>6</v>
      </c>
      <c r="P789" t="s">
        <v>1214</v>
      </c>
    </row>
    <row r="790" spans="1:16" x14ac:dyDescent="0.3">
      <c r="A790" t="s">
        <v>22</v>
      </c>
      <c r="B790">
        <v>194326.7</v>
      </c>
      <c r="C790">
        <v>169005.93</v>
      </c>
      <c r="D790" s="1">
        <v>43653</v>
      </c>
      <c r="E790" t="s">
        <v>91</v>
      </c>
      <c r="F790" t="s">
        <v>56</v>
      </c>
      <c r="G790" t="s">
        <v>25</v>
      </c>
      <c r="H790" t="s">
        <v>63</v>
      </c>
      <c r="I790" t="s">
        <v>32</v>
      </c>
      <c r="J790" t="s">
        <v>949</v>
      </c>
      <c r="K790">
        <v>25320.77</v>
      </c>
      <c r="L790">
        <v>0.130300005094514</v>
      </c>
      <c r="M790">
        <v>2019</v>
      </c>
      <c r="N790" t="s">
        <v>1174</v>
      </c>
      <c r="O790">
        <v>7</v>
      </c>
      <c r="P790" t="s">
        <v>1214</v>
      </c>
    </row>
    <row r="791" spans="1:16" x14ac:dyDescent="0.3">
      <c r="A791" t="s">
        <v>22</v>
      </c>
      <c r="B791">
        <v>59691.71</v>
      </c>
      <c r="C791">
        <v>49239.69</v>
      </c>
      <c r="D791" s="1">
        <v>43633</v>
      </c>
      <c r="E791" t="s">
        <v>99</v>
      </c>
      <c r="F791" t="s">
        <v>373</v>
      </c>
      <c r="G791" t="s">
        <v>25</v>
      </c>
      <c r="H791" t="s">
        <v>63</v>
      </c>
      <c r="I791" t="s">
        <v>27</v>
      </c>
      <c r="J791" t="s">
        <v>950</v>
      </c>
      <c r="K791">
        <v>10452.02</v>
      </c>
      <c r="L791">
        <v>0.17510002645258399</v>
      </c>
      <c r="M791">
        <v>2019</v>
      </c>
      <c r="N791" t="s">
        <v>1179</v>
      </c>
      <c r="O791">
        <v>6</v>
      </c>
      <c r="P791" t="s">
        <v>1214</v>
      </c>
    </row>
    <row r="792" spans="1:16" x14ac:dyDescent="0.3">
      <c r="A792" t="s">
        <v>34</v>
      </c>
      <c r="B792">
        <v>256388.08</v>
      </c>
      <c r="C792">
        <v>212058.58</v>
      </c>
      <c r="D792" s="1">
        <v>43597</v>
      </c>
      <c r="E792" t="s">
        <v>23</v>
      </c>
      <c r="F792" t="s">
        <v>656</v>
      </c>
      <c r="G792" t="s">
        <v>36</v>
      </c>
      <c r="H792" t="s">
        <v>93</v>
      </c>
      <c r="I792" t="s">
        <v>32</v>
      </c>
      <c r="J792" t="s">
        <v>951</v>
      </c>
      <c r="K792">
        <v>44329.5</v>
      </c>
      <c r="L792">
        <v>0.172900003775527</v>
      </c>
      <c r="M792">
        <v>2019</v>
      </c>
      <c r="N792" t="s">
        <v>1173</v>
      </c>
      <c r="O792">
        <v>5</v>
      </c>
      <c r="P792" t="s">
        <v>1215</v>
      </c>
    </row>
    <row r="793" spans="1:16" x14ac:dyDescent="0.3">
      <c r="A793" t="s">
        <v>22</v>
      </c>
      <c r="B793">
        <v>84598.68</v>
      </c>
      <c r="C793">
        <v>72391.09</v>
      </c>
      <c r="D793" s="1">
        <v>43949</v>
      </c>
      <c r="E793" t="s">
        <v>40</v>
      </c>
      <c r="F793" t="s">
        <v>71</v>
      </c>
      <c r="G793" t="s">
        <v>25</v>
      </c>
      <c r="H793" t="s">
        <v>87</v>
      </c>
      <c r="I793" t="s">
        <v>27</v>
      </c>
      <c r="J793" t="s">
        <v>952</v>
      </c>
      <c r="K793">
        <v>12207.59</v>
      </c>
      <c r="L793">
        <v>0.144300005626565</v>
      </c>
      <c r="M793">
        <v>2020</v>
      </c>
      <c r="N793" t="s">
        <v>1172</v>
      </c>
      <c r="O793">
        <v>4</v>
      </c>
      <c r="P793" t="s">
        <v>1215</v>
      </c>
    </row>
    <row r="794" spans="1:16" x14ac:dyDescent="0.3">
      <c r="A794" t="s">
        <v>17</v>
      </c>
      <c r="B794">
        <v>116206.87</v>
      </c>
      <c r="C794">
        <v>93104.94</v>
      </c>
      <c r="D794" s="1">
        <v>43570</v>
      </c>
      <c r="E794" t="s">
        <v>11</v>
      </c>
      <c r="F794" t="s">
        <v>214</v>
      </c>
      <c r="G794" t="s">
        <v>19</v>
      </c>
      <c r="H794" t="s">
        <v>20</v>
      </c>
      <c r="I794" t="s">
        <v>27</v>
      </c>
      <c r="J794" t="s">
        <v>953</v>
      </c>
      <c r="K794">
        <v>23101.93</v>
      </c>
      <c r="L794">
        <v>0.198800036521077</v>
      </c>
      <c r="M794">
        <v>2019</v>
      </c>
      <c r="N794" t="s">
        <v>1172</v>
      </c>
      <c r="O794">
        <v>4</v>
      </c>
      <c r="P794" t="s">
        <v>1215</v>
      </c>
    </row>
    <row r="795" spans="1:16" x14ac:dyDescent="0.3">
      <c r="A795" t="s">
        <v>22</v>
      </c>
      <c r="B795">
        <v>74231.25</v>
      </c>
      <c r="C795">
        <v>61604.51</v>
      </c>
      <c r="D795" s="1">
        <v>43780</v>
      </c>
      <c r="E795" t="s">
        <v>76</v>
      </c>
      <c r="F795" t="s">
        <v>335</v>
      </c>
      <c r="G795" t="s">
        <v>25</v>
      </c>
      <c r="H795" t="s">
        <v>87</v>
      </c>
      <c r="I795" t="s">
        <v>32</v>
      </c>
      <c r="J795" t="s">
        <v>954</v>
      </c>
      <c r="K795">
        <v>12626.74</v>
      </c>
      <c r="L795">
        <v>0.17010005893744201</v>
      </c>
      <c r="M795">
        <v>2019</v>
      </c>
      <c r="N795" t="s">
        <v>1180</v>
      </c>
      <c r="O795">
        <v>11</v>
      </c>
      <c r="P795" t="s">
        <v>1216</v>
      </c>
    </row>
    <row r="796" spans="1:16" x14ac:dyDescent="0.3">
      <c r="A796" t="s">
        <v>122</v>
      </c>
      <c r="B796">
        <v>80328.160000000003</v>
      </c>
      <c r="C796">
        <v>65836.960000000006</v>
      </c>
      <c r="D796" s="1">
        <v>44097</v>
      </c>
      <c r="E796" t="s">
        <v>11</v>
      </c>
      <c r="F796" t="s">
        <v>285</v>
      </c>
      <c r="G796" t="s">
        <v>123</v>
      </c>
      <c r="H796" t="s">
        <v>124</v>
      </c>
      <c r="I796" t="s">
        <v>27</v>
      </c>
      <c r="J796" t="s">
        <v>955</v>
      </c>
      <c r="K796">
        <v>14491.2</v>
      </c>
      <c r="L796">
        <v>0.18039999920326799</v>
      </c>
      <c r="M796">
        <v>2020</v>
      </c>
      <c r="N796" t="s">
        <v>1175</v>
      </c>
      <c r="O796">
        <v>9</v>
      </c>
      <c r="P796" t="s">
        <v>1216</v>
      </c>
    </row>
    <row r="797" spans="1:16" x14ac:dyDescent="0.3">
      <c r="A797" t="s">
        <v>17</v>
      </c>
      <c r="B797">
        <v>32661.62</v>
      </c>
      <c r="C797">
        <v>27922.42</v>
      </c>
      <c r="D797" s="1">
        <v>44045</v>
      </c>
      <c r="E797" t="s">
        <v>29</v>
      </c>
      <c r="F797" t="s">
        <v>109</v>
      </c>
      <c r="G797" t="s">
        <v>19</v>
      </c>
      <c r="H797" t="s">
        <v>20</v>
      </c>
      <c r="I797" t="s">
        <v>27</v>
      </c>
      <c r="J797" t="s">
        <v>956</v>
      </c>
      <c r="K797">
        <v>4739.2</v>
      </c>
      <c r="L797">
        <v>0.145099967484773</v>
      </c>
      <c r="M797">
        <v>2020</v>
      </c>
      <c r="N797" t="s">
        <v>1171</v>
      </c>
      <c r="O797">
        <v>8</v>
      </c>
      <c r="P797" t="s">
        <v>1214</v>
      </c>
    </row>
    <row r="798" spans="1:16" x14ac:dyDescent="0.3">
      <c r="A798" t="s">
        <v>17</v>
      </c>
      <c r="B798">
        <v>85223.07</v>
      </c>
      <c r="C798">
        <v>73002.080000000002</v>
      </c>
      <c r="D798" s="1">
        <v>43723</v>
      </c>
      <c r="E798" t="s">
        <v>76</v>
      </c>
      <c r="F798" t="s">
        <v>71</v>
      </c>
      <c r="G798" t="s">
        <v>19</v>
      </c>
      <c r="H798" t="s">
        <v>78</v>
      </c>
      <c r="I798" t="s">
        <v>27</v>
      </c>
      <c r="J798" t="s">
        <v>957</v>
      </c>
      <c r="K798">
        <v>12220.99</v>
      </c>
      <c r="L798">
        <v>0.14340002067515301</v>
      </c>
      <c r="M798">
        <v>2019</v>
      </c>
      <c r="N798" t="s">
        <v>1175</v>
      </c>
      <c r="O798">
        <v>9</v>
      </c>
      <c r="P798" t="s">
        <v>1216</v>
      </c>
    </row>
    <row r="799" spans="1:16" x14ac:dyDescent="0.3">
      <c r="A799" t="s">
        <v>10</v>
      </c>
      <c r="B799">
        <v>39457.339999999997</v>
      </c>
      <c r="C799">
        <v>32793</v>
      </c>
      <c r="D799" s="1">
        <v>44124</v>
      </c>
      <c r="E799" t="s">
        <v>76</v>
      </c>
      <c r="F799" t="s">
        <v>113</v>
      </c>
      <c r="G799" t="s">
        <v>13</v>
      </c>
      <c r="H799" t="s">
        <v>81</v>
      </c>
      <c r="I799" t="s">
        <v>27</v>
      </c>
      <c r="J799" t="s">
        <v>958</v>
      </c>
      <c r="K799">
        <v>6664.34</v>
      </c>
      <c r="L799">
        <v>0.16889988022507399</v>
      </c>
      <c r="M799">
        <v>2020</v>
      </c>
      <c r="N799" t="s">
        <v>1178</v>
      </c>
      <c r="O799">
        <v>10</v>
      </c>
      <c r="P799" t="s">
        <v>1216</v>
      </c>
    </row>
    <row r="800" spans="1:16" x14ac:dyDescent="0.3">
      <c r="A800" t="s">
        <v>22</v>
      </c>
      <c r="B800">
        <v>87085.71</v>
      </c>
      <c r="C800">
        <v>76548.34</v>
      </c>
      <c r="D800" s="1">
        <v>44070</v>
      </c>
      <c r="E800" t="s">
        <v>181</v>
      </c>
      <c r="F800" t="s">
        <v>236</v>
      </c>
      <c r="G800" t="s">
        <v>25</v>
      </c>
      <c r="H800" t="s">
        <v>167</v>
      </c>
      <c r="I800" t="s">
        <v>27</v>
      </c>
      <c r="J800" t="s">
        <v>959</v>
      </c>
      <c r="K800">
        <v>10537.37</v>
      </c>
      <c r="L800">
        <v>0.120999989550524</v>
      </c>
      <c r="M800">
        <v>2020</v>
      </c>
      <c r="N800" t="s">
        <v>1171</v>
      </c>
      <c r="O800">
        <v>8</v>
      </c>
      <c r="P800" t="s">
        <v>1214</v>
      </c>
    </row>
    <row r="801" spans="1:16" x14ac:dyDescent="0.3">
      <c r="A801" t="s">
        <v>151</v>
      </c>
      <c r="B801">
        <v>130242.41</v>
      </c>
      <c r="C801">
        <v>113050.41</v>
      </c>
      <c r="D801" s="1">
        <v>44195</v>
      </c>
      <c r="E801" t="s">
        <v>51</v>
      </c>
      <c r="F801" t="s">
        <v>56</v>
      </c>
      <c r="G801" t="s">
        <v>152</v>
      </c>
      <c r="H801" t="s">
        <v>153</v>
      </c>
      <c r="I801" t="s">
        <v>27</v>
      </c>
      <c r="J801" t="s">
        <v>960</v>
      </c>
      <c r="K801">
        <v>17192</v>
      </c>
      <c r="L801">
        <v>0.132000014434622</v>
      </c>
      <c r="M801">
        <v>2020</v>
      </c>
      <c r="N801" t="s">
        <v>1182</v>
      </c>
      <c r="O801">
        <v>12</v>
      </c>
      <c r="P801" t="s">
        <v>1217</v>
      </c>
    </row>
    <row r="802" spans="1:16" x14ac:dyDescent="0.3">
      <c r="A802" t="s">
        <v>22</v>
      </c>
      <c r="B802">
        <v>74790.02</v>
      </c>
      <c r="C802">
        <v>64992.53</v>
      </c>
      <c r="D802" s="1">
        <v>44001</v>
      </c>
      <c r="E802" t="s">
        <v>76</v>
      </c>
      <c r="F802" t="s">
        <v>229</v>
      </c>
      <c r="G802" t="s">
        <v>25</v>
      </c>
      <c r="H802" t="s">
        <v>26</v>
      </c>
      <c r="I802" t="s">
        <v>27</v>
      </c>
      <c r="J802" t="s">
        <v>961</v>
      </c>
      <c r="K802">
        <v>9797.49</v>
      </c>
      <c r="L802">
        <v>0.13099996496858801</v>
      </c>
      <c r="M802">
        <v>2020</v>
      </c>
      <c r="N802" t="s">
        <v>1179</v>
      </c>
      <c r="O802">
        <v>6</v>
      </c>
      <c r="P802" t="s">
        <v>1214</v>
      </c>
    </row>
    <row r="803" spans="1:16" x14ac:dyDescent="0.3">
      <c r="A803" t="s">
        <v>22</v>
      </c>
      <c r="B803">
        <v>79874.42</v>
      </c>
      <c r="C803">
        <v>68132.88</v>
      </c>
      <c r="D803" s="1">
        <v>44149</v>
      </c>
      <c r="E803" t="s">
        <v>181</v>
      </c>
      <c r="F803" t="s">
        <v>400</v>
      </c>
      <c r="G803" t="s">
        <v>25</v>
      </c>
      <c r="H803" t="s">
        <v>167</v>
      </c>
      <c r="I803" t="s">
        <v>27</v>
      </c>
      <c r="J803" t="s">
        <v>962</v>
      </c>
      <c r="K803">
        <v>11741.54</v>
      </c>
      <c r="L803">
        <v>0.14700000325511001</v>
      </c>
      <c r="M803">
        <v>2020</v>
      </c>
      <c r="N803" t="s">
        <v>1180</v>
      </c>
      <c r="O803">
        <v>11</v>
      </c>
      <c r="P803" t="s">
        <v>1216</v>
      </c>
    </row>
    <row r="804" spans="1:16" x14ac:dyDescent="0.3">
      <c r="A804" t="s">
        <v>17</v>
      </c>
      <c r="B804">
        <v>19814.86</v>
      </c>
      <c r="C804">
        <v>16787.150000000001</v>
      </c>
      <c r="D804" s="1">
        <v>43910</v>
      </c>
      <c r="E804" t="s">
        <v>23</v>
      </c>
      <c r="F804" t="s">
        <v>300</v>
      </c>
      <c r="G804" t="s">
        <v>19</v>
      </c>
      <c r="H804" t="s">
        <v>49</v>
      </c>
      <c r="I804" t="s">
        <v>27</v>
      </c>
      <c r="J804" t="s">
        <v>963</v>
      </c>
      <c r="K804">
        <v>3027.71</v>
      </c>
      <c r="L804">
        <v>0.15279996931595799</v>
      </c>
      <c r="M804">
        <v>2020</v>
      </c>
      <c r="N804" t="s">
        <v>1176</v>
      </c>
      <c r="O804">
        <v>3</v>
      </c>
      <c r="P804" t="s">
        <v>1215</v>
      </c>
    </row>
    <row r="805" spans="1:16" x14ac:dyDescent="0.3">
      <c r="A805" t="s">
        <v>34</v>
      </c>
      <c r="B805">
        <v>203958.16</v>
      </c>
      <c r="C805">
        <v>176444.2</v>
      </c>
      <c r="D805" s="1">
        <v>43873</v>
      </c>
      <c r="E805" t="s">
        <v>23</v>
      </c>
      <c r="F805" t="s">
        <v>244</v>
      </c>
      <c r="G805" t="s">
        <v>36</v>
      </c>
      <c r="H805" t="s">
        <v>37</v>
      </c>
      <c r="I805" t="s">
        <v>27</v>
      </c>
      <c r="J805" t="s">
        <v>964</v>
      </c>
      <c r="K805">
        <v>27513.96</v>
      </c>
      <c r="L805">
        <v>0.13490002067090601</v>
      </c>
      <c r="M805">
        <v>2020</v>
      </c>
      <c r="N805" t="s">
        <v>1181</v>
      </c>
      <c r="O805">
        <v>2</v>
      </c>
      <c r="P805" t="s">
        <v>1217</v>
      </c>
    </row>
    <row r="806" spans="1:16" x14ac:dyDescent="0.3">
      <c r="A806" t="s">
        <v>169</v>
      </c>
      <c r="B806">
        <v>65822.05</v>
      </c>
      <c r="C806">
        <v>54790.27</v>
      </c>
      <c r="D806" s="1">
        <v>44146</v>
      </c>
      <c r="E806" t="s">
        <v>40</v>
      </c>
      <c r="F806" t="s">
        <v>214</v>
      </c>
      <c r="G806" t="s">
        <v>171</v>
      </c>
      <c r="H806" t="s">
        <v>172</v>
      </c>
      <c r="I806" t="s">
        <v>27</v>
      </c>
      <c r="J806" t="s">
        <v>965</v>
      </c>
      <c r="K806">
        <v>11031.78</v>
      </c>
      <c r="L806">
        <v>0.16760006715074999</v>
      </c>
      <c r="M806">
        <v>2020</v>
      </c>
      <c r="N806" t="s">
        <v>1180</v>
      </c>
      <c r="O806">
        <v>11</v>
      </c>
      <c r="P806" t="s">
        <v>1216</v>
      </c>
    </row>
    <row r="807" spans="1:16" x14ac:dyDescent="0.3">
      <c r="A807" t="s">
        <v>17</v>
      </c>
      <c r="B807">
        <v>58416.11</v>
      </c>
      <c r="C807">
        <v>48076.46</v>
      </c>
      <c r="D807" s="1">
        <v>43967</v>
      </c>
      <c r="E807" t="s">
        <v>23</v>
      </c>
      <c r="F807" t="s">
        <v>292</v>
      </c>
      <c r="G807" t="s">
        <v>19</v>
      </c>
      <c r="H807" t="s">
        <v>78</v>
      </c>
      <c r="I807" t="s">
        <v>27</v>
      </c>
      <c r="J807" t="s">
        <v>966</v>
      </c>
      <c r="K807">
        <v>10339.65</v>
      </c>
      <c r="L807">
        <v>0.17699997483570901</v>
      </c>
      <c r="M807">
        <v>2020</v>
      </c>
      <c r="N807" t="s">
        <v>1173</v>
      </c>
      <c r="O807">
        <v>5</v>
      </c>
      <c r="P807" t="s">
        <v>1215</v>
      </c>
    </row>
    <row r="808" spans="1:16" x14ac:dyDescent="0.3">
      <c r="A808" t="s">
        <v>22</v>
      </c>
      <c r="B808">
        <v>59378.97</v>
      </c>
      <c r="C808">
        <v>52176.3</v>
      </c>
      <c r="D808" s="1">
        <v>43946</v>
      </c>
      <c r="E808" t="s">
        <v>23</v>
      </c>
      <c r="F808" t="s">
        <v>35</v>
      </c>
      <c r="G808" t="s">
        <v>25</v>
      </c>
      <c r="H808" t="s">
        <v>26</v>
      </c>
      <c r="I808" t="s">
        <v>27</v>
      </c>
      <c r="J808" t="s">
        <v>967</v>
      </c>
      <c r="K808">
        <v>7202.67</v>
      </c>
      <c r="L808">
        <v>0.121300015813679</v>
      </c>
      <c r="M808">
        <v>2020</v>
      </c>
      <c r="N808" t="s">
        <v>1172</v>
      </c>
      <c r="O808">
        <v>4</v>
      </c>
      <c r="P808" t="s">
        <v>1215</v>
      </c>
    </row>
    <row r="809" spans="1:16" x14ac:dyDescent="0.3">
      <c r="A809" t="s">
        <v>10</v>
      </c>
      <c r="B809">
        <v>73773.600000000006</v>
      </c>
      <c r="C809">
        <v>58421.31</v>
      </c>
      <c r="D809" s="1">
        <v>43851</v>
      </c>
      <c r="E809" t="s">
        <v>91</v>
      </c>
      <c r="F809" t="s">
        <v>656</v>
      </c>
      <c r="G809" t="s">
        <v>13</v>
      </c>
      <c r="H809" t="s">
        <v>110</v>
      </c>
      <c r="I809" t="s">
        <v>32</v>
      </c>
      <c r="J809" t="s">
        <v>968</v>
      </c>
      <c r="K809">
        <v>15352.29</v>
      </c>
      <c r="L809">
        <v>0.20810005205113999</v>
      </c>
      <c r="M809">
        <v>2020</v>
      </c>
      <c r="N809" t="s">
        <v>1177</v>
      </c>
      <c r="O809">
        <v>1</v>
      </c>
      <c r="P809" t="s">
        <v>1217</v>
      </c>
    </row>
    <row r="810" spans="1:16" x14ac:dyDescent="0.3">
      <c r="A810" t="s">
        <v>10</v>
      </c>
      <c r="B810">
        <v>44029.07</v>
      </c>
      <c r="C810">
        <v>38344.92</v>
      </c>
      <c r="D810" s="1">
        <v>43717</v>
      </c>
      <c r="E810" t="s">
        <v>99</v>
      </c>
      <c r="F810" t="s">
        <v>139</v>
      </c>
      <c r="G810" t="s">
        <v>13</v>
      </c>
      <c r="H810" t="s">
        <v>46</v>
      </c>
      <c r="I810" t="s">
        <v>27</v>
      </c>
      <c r="J810" t="s">
        <v>969</v>
      </c>
      <c r="K810">
        <v>5684.15</v>
      </c>
      <c r="L810">
        <v>0.12909993329407099</v>
      </c>
      <c r="M810">
        <v>2019</v>
      </c>
      <c r="N810" t="s">
        <v>1175</v>
      </c>
      <c r="O810">
        <v>9</v>
      </c>
      <c r="P810" t="s">
        <v>1216</v>
      </c>
    </row>
    <row r="811" spans="1:16" x14ac:dyDescent="0.3">
      <c r="A811" t="s">
        <v>17</v>
      </c>
      <c r="B811">
        <v>51504.5</v>
      </c>
      <c r="C811">
        <v>44592.6</v>
      </c>
      <c r="D811" s="1">
        <v>43730</v>
      </c>
      <c r="E811" t="s">
        <v>23</v>
      </c>
      <c r="F811" t="s">
        <v>174</v>
      </c>
      <c r="G811" t="s">
        <v>19</v>
      </c>
      <c r="H811" t="s">
        <v>20</v>
      </c>
      <c r="I811" t="s">
        <v>27</v>
      </c>
      <c r="J811" t="s">
        <v>970</v>
      </c>
      <c r="K811">
        <v>6911.9</v>
      </c>
      <c r="L811">
        <v>0.134199924278461</v>
      </c>
      <c r="M811">
        <v>2019</v>
      </c>
      <c r="N811" t="s">
        <v>1175</v>
      </c>
      <c r="O811">
        <v>9</v>
      </c>
      <c r="P811" t="s">
        <v>1216</v>
      </c>
    </row>
    <row r="812" spans="1:16" x14ac:dyDescent="0.3">
      <c r="A812" t="s">
        <v>17</v>
      </c>
      <c r="B812">
        <v>56068.7</v>
      </c>
      <c r="C812">
        <v>47378.05</v>
      </c>
      <c r="D812" s="1">
        <v>43618</v>
      </c>
      <c r="E812" t="s">
        <v>11</v>
      </c>
      <c r="F812" t="s">
        <v>92</v>
      </c>
      <c r="G812" t="s">
        <v>19</v>
      </c>
      <c r="H812" t="s">
        <v>157</v>
      </c>
      <c r="I812" t="s">
        <v>27</v>
      </c>
      <c r="J812" t="s">
        <v>971</v>
      </c>
      <c r="K812">
        <v>8690.65</v>
      </c>
      <c r="L812">
        <v>0.15500002675289401</v>
      </c>
      <c r="M812">
        <v>2019</v>
      </c>
      <c r="N812" t="s">
        <v>1179</v>
      </c>
      <c r="O812">
        <v>6</v>
      </c>
      <c r="P812" t="s">
        <v>1214</v>
      </c>
    </row>
    <row r="813" spans="1:16" x14ac:dyDescent="0.3">
      <c r="A813" t="s">
        <v>22</v>
      </c>
      <c r="B813">
        <v>129022.02</v>
      </c>
      <c r="C813">
        <v>104585.25</v>
      </c>
      <c r="D813" s="1">
        <v>44002</v>
      </c>
      <c r="E813" t="s">
        <v>29</v>
      </c>
      <c r="F813" t="s">
        <v>373</v>
      </c>
      <c r="G813" t="s">
        <v>25</v>
      </c>
      <c r="H813" t="s">
        <v>26</v>
      </c>
      <c r="I813" t="s">
        <v>27</v>
      </c>
      <c r="J813" t="s">
        <v>972</v>
      </c>
      <c r="K813">
        <v>24436.77</v>
      </c>
      <c r="L813">
        <v>0.189399995442638</v>
      </c>
      <c r="M813">
        <v>2020</v>
      </c>
      <c r="N813" t="s">
        <v>1179</v>
      </c>
      <c r="O813">
        <v>6</v>
      </c>
      <c r="P813" t="s">
        <v>1214</v>
      </c>
    </row>
    <row r="814" spans="1:16" x14ac:dyDescent="0.3">
      <c r="A814" t="s">
        <v>34</v>
      </c>
      <c r="B814">
        <v>123751.91</v>
      </c>
      <c r="C814">
        <v>102590.33</v>
      </c>
      <c r="D814" s="1">
        <v>43787</v>
      </c>
      <c r="E814" t="s">
        <v>51</v>
      </c>
      <c r="F814" t="s">
        <v>56</v>
      </c>
      <c r="G814" t="s">
        <v>36</v>
      </c>
      <c r="H814" t="s">
        <v>93</v>
      </c>
      <c r="I814" t="s">
        <v>27</v>
      </c>
      <c r="J814" t="s">
        <v>973</v>
      </c>
      <c r="K814">
        <v>21161.58</v>
      </c>
      <c r="L814">
        <v>0.171000027393517</v>
      </c>
      <c r="M814">
        <v>2019</v>
      </c>
      <c r="N814" t="s">
        <v>1180</v>
      </c>
      <c r="O814">
        <v>11</v>
      </c>
      <c r="P814" t="s">
        <v>1216</v>
      </c>
    </row>
    <row r="815" spans="1:16" x14ac:dyDescent="0.3">
      <c r="A815" t="s">
        <v>54</v>
      </c>
      <c r="B815">
        <v>153011.39000000001</v>
      </c>
      <c r="C815">
        <v>131543.89000000001</v>
      </c>
      <c r="D815" s="1">
        <v>43721</v>
      </c>
      <c r="E815" t="s">
        <v>23</v>
      </c>
      <c r="F815" t="s">
        <v>56</v>
      </c>
      <c r="G815" t="s">
        <v>57</v>
      </c>
      <c r="H815" t="s">
        <v>58</v>
      </c>
      <c r="I815" t="s">
        <v>27</v>
      </c>
      <c r="J815" t="s">
        <v>974</v>
      </c>
      <c r="K815">
        <v>21467.5</v>
      </c>
      <c r="L815">
        <v>0.14030001295982</v>
      </c>
      <c r="M815">
        <v>2019</v>
      </c>
      <c r="N815" t="s">
        <v>1175</v>
      </c>
      <c r="O815">
        <v>9</v>
      </c>
      <c r="P815" t="s">
        <v>1216</v>
      </c>
    </row>
    <row r="816" spans="1:16" x14ac:dyDescent="0.3">
      <c r="A816" t="s">
        <v>39</v>
      </c>
      <c r="B816">
        <v>44232.84</v>
      </c>
      <c r="C816">
        <v>38880.67</v>
      </c>
      <c r="D816" s="1">
        <v>43881</v>
      </c>
      <c r="E816" t="s">
        <v>91</v>
      </c>
      <c r="F816" t="s">
        <v>56</v>
      </c>
      <c r="G816" t="s">
        <v>42</v>
      </c>
      <c r="H816" t="s">
        <v>43</v>
      </c>
      <c r="I816" t="s">
        <v>15</v>
      </c>
      <c r="J816" t="s">
        <v>975</v>
      </c>
      <c r="K816">
        <v>5352.17</v>
      </c>
      <c r="L816">
        <v>0.120999917708201</v>
      </c>
      <c r="M816">
        <v>2020</v>
      </c>
      <c r="N816" t="s">
        <v>1181</v>
      </c>
      <c r="O816">
        <v>2</v>
      </c>
      <c r="P816" t="s">
        <v>1217</v>
      </c>
    </row>
    <row r="817" spans="1:16" x14ac:dyDescent="0.3">
      <c r="A817" t="s">
        <v>22</v>
      </c>
      <c r="B817">
        <v>51416.24</v>
      </c>
      <c r="C817">
        <v>43338.75</v>
      </c>
      <c r="D817" s="1">
        <v>43936</v>
      </c>
      <c r="E817" t="s">
        <v>51</v>
      </c>
      <c r="F817" t="s">
        <v>102</v>
      </c>
      <c r="G817" t="s">
        <v>25</v>
      </c>
      <c r="H817" t="s">
        <v>52</v>
      </c>
      <c r="I817" t="s">
        <v>27</v>
      </c>
      <c r="J817" t="s">
        <v>976</v>
      </c>
      <c r="K817">
        <v>8077.49</v>
      </c>
      <c r="L817">
        <v>0.157099974638363</v>
      </c>
      <c r="M817">
        <v>2020</v>
      </c>
      <c r="N817" t="s">
        <v>1172</v>
      </c>
      <c r="O817">
        <v>4</v>
      </c>
      <c r="P817" t="s">
        <v>1215</v>
      </c>
    </row>
    <row r="818" spans="1:16" x14ac:dyDescent="0.3">
      <c r="A818" t="s">
        <v>17</v>
      </c>
      <c r="B818">
        <v>78629.19</v>
      </c>
      <c r="C818">
        <v>63359.4</v>
      </c>
      <c r="D818" s="1">
        <v>43517</v>
      </c>
      <c r="E818" t="s">
        <v>23</v>
      </c>
      <c r="F818" t="s">
        <v>56</v>
      </c>
      <c r="G818" t="s">
        <v>19</v>
      </c>
      <c r="H818" t="s">
        <v>20</v>
      </c>
      <c r="I818" t="s">
        <v>32</v>
      </c>
      <c r="J818" t="s">
        <v>977</v>
      </c>
      <c r="K818">
        <v>15269.79</v>
      </c>
      <c r="L818">
        <v>0.194200016558736</v>
      </c>
      <c r="M818">
        <v>2019</v>
      </c>
      <c r="N818" t="s">
        <v>1181</v>
      </c>
      <c r="O818">
        <v>2</v>
      </c>
      <c r="P818" t="s">
        <v>1217</v>
      </c>
    </row>
    <row r="819" spans="1:16" x14ac:dyDescent="0.3">
      <c r="A819" t="s">
        <v>22</v>
      </c>
      <c r="B819">
        <v>95566.43</v>
      </c>
      <c r="C819">
        <v>80342.7</v>
      </c>
      <c r="D819" s="1">
        <v>43651</v>
      </c>
      <c r="E819" t="s">
        <v>40</v>
      </c>
      <c r="F819" t="s">
        <v>106</v>
      </c>
      <c r="G819" t="s">
        <v>25</v>
      </c>
      <c r="H819" t="s">
        <v>63</v>
      </c>
      <c r="I819" t="s">
        <v>27</v>
      </c>
      <c r="J819" t="s">
        <v>978</v>
      </c>
      <c r="K819">
        <v>15223.73</v>
      </c>
      <c r="L819">
        <v>0.15929997594343501</v>
      </c>
      <c r="M819">
        <v>2019</v>
      </c>
      <c r="N819" t="s">
        <v>1174</v>
      </c>
      <c r="O819">
        <v>7</v>
      </c>
      <c r="P819" t="s">
        <v>1214</v>
      </c>
    </row>
    <row r="820" spans="1:16" x14ac:dyDescent="0.3">
      <c r="A820" t="s">
        <v>34</v>
      </c>
      <c r="B820">
        <v>123272.44</v>
      </c>
      <c r="C820">
        <v>101576.49</v>
      </c>
      <c r="D820" s="1">
        <v>43485</v>
      </c>
      <c r="E820" t="s">
        <v>40</v>
      </c>
      <c r="F820" t="s">
        <v>222</v>
      </c>
      <c r="G820" t="s">
        <v>36</v>
      </c>
      <c r="H820" t="s">
        <v>37</v>
      </c>
      <c r="I820" t="s">
        <v>15</v>
      </c>
      <c r="J820" t="s">
        <v>979</v>
      </c>
      <c r="K820">
        <v>21695.95</v>
      </c>
      <c r="L820">
        <v>0.176000004542783</v>
      </c>
      <c r="M820">
        <v>2019</v>
      </c>
      <c r="N820" t="s">
        <v>1177</v>
      </c>
      <c r="O820">
        <v>1</v>
      </c>
      <c r="P820" t="s">
        <v>1217</v>
      </c>
    </row>
    <row r="821" spans="1:16" x14ac:dyDescent="0.3">
      <c r="A821" t="s">
        <v>34</v>
      </c>
      <c r="B821">
        <v>34748.75</v>
      </c>
      <c r="C821">
        <v>27475.84</v>
      </c>
      <c r="D821" s="1">
        <v>44101</v>
      </c>
      <c r="E821" t="s">
        <v>51</v>
      </c>
      <c r="F821" t="s">
        <v>89</v>
      </c>
      <c r="G821" t="s">
        <v>36</v>
      </c>
      <c r="H821" t="s">
        <v>37</v>
      </c>
      <c r="I821" t="s">
        <v>15</v>
      </c>
      <c r="J821" t="s">
        <v>980</v>
      </c>
      <c r="K821">
        <v>7272.91</v>
      </c>
      <c r="L821">
        <v>0.209299902874204</v>
      </c>
      <c r="M821">
        <v>2020</v>
      </c>
      <c r="N821" t="s">
        <v>1175</v>
      </c>
      <c r="O821">
        <v>9</v>
      </c>
      <c r="P821" t="s">
        <v>1216</v>
      </c>
    </row>
    <row r="822" spans="1:16" x14ac:dyDescent="0.3">
      <c r="A822" t="s">
        <v>169</v>
      </c>
      <c r="B822">
        <v>109892.92</v>
      </c>
      <c r="C822">
        <v>89441.85</v>
      </c>
      <c r="D822" s="1">
        <v>43987</v>
      </c>
      <c r="E822" t="s">
        <v>91</v>
      </c>
      <c r="F822" t="s">
        <v>312</v>
      </c>
      <c r="G822" t="s">
        <v>171</v>
      </c>
      <c r="H822" t="s">
        <v>298</v>
      </c>
      <c r="I822" t="s">
        <v>27</v>
      </c>
      <c r="J822" t="s">
        <v>981</v>
      </c>
      <c r="K822">
        <v>20451.07</v>
      </c>
      <c r="L822">
        <v>0.186099978051361</v>
      </c>
      <c r="M822">
        <v>2020</v>
      </c>
      <c r="N822" t="s">
        <v>1179</v>
      </c>
      <c r="O822">
        <v>6</v>
      </c>
      <c r="P822" t="s">
        <v>1214</v>
      </c>
    </row>
    <row r="823" spans="1:16" x14ac:dyDescent="0.3">
      <c r="A823" t="s">
        <v>10</v>
      </c>
      <c r="B823">
        <v>177993.88</v>
      </c>
      <c r="C823">
        <v>145029.41</v>
      </c>
      <c r="D823" s="1">
        <v>43508</v>
      </c>
      <c r="E823" t="s">
        <v>181</v>
      </c>
      <c r="F823" t="s">
        <v>56</v>
      </c>
      <c r="G823" t="s">
        <v>13</v>
      </c>
      <c r="H823" t="s">
        <v>46</v>
      </c>
      <c r="I823" t="s">
        <v>15</v>
      </c>
      <c r="J823" t="s">
        <v>982</v>
      </c>
      <c r="K823">
        <v>32964.47</v>
      </c>
      <c r="L823">
        <v>0.185200019236616</v>
      </c>
      <c r="M823">
        <v>2019</v>
      </c>
      <c r="N823" t="s">
        <v>1181</v>
      </c>
      <c r="O823">
        <v>2</v>
      </c>
      <c r="P823" t="s">
        <v>1217</v>
      </c>
    </row>
    <row r="824" spans="1:16" x14ac:dyDescent="0.3">
      <c r="A824" t="s">
        <v>22</v>
      </c>
      <c r="B824">
        <v>243176.92</v>
      </c>
      <c r="C824">
        <v>202250.23999999999</v>
      </c>
      <c r="D824" s="1">
        <v>43897</v>
      </c>
      <c r="E824" t="s">
        <v>23</v>
      </c>
      <c r="F824" t="s">
        <v>335</v>
      </c>
      <c r="G824" t="s">
        <v>25</v>
      </c>
      <c r="H824" t="s">
        <v>63</v>
      </c>
      <c r="I824" t="s">
        <v>27</v>
      </c>
      <c r="J824" t="s">
        <v>983</v>
      </c>
      <c r="K824">
        <v>40926.68</v>
      </c>
      <c r="L824">
        <v>0.168300017945782</v>
      </c>
      <c r="M824">
        <v>2020</v>
      </c>
      <c r="N824" t="s">
        <v>1176</v>
      </c>
      <c r="O824">
        <v>3</v>
      </c>
      <c r="P824" t="s">
        <v>1215</v>
      </c>
    </row>
    <row r="825" spans="1:16" x14ac:dyDescent="0.3">
      <c r="A825" t="s">
        <v>151</v>
      </c>
      <c r="B825">
        <v>31966.82</v>
      </c>
      <c r="C825">
        <v>26593.200000000001</v>
      </c>
      <c r="D825" s="1">
        <v>44067</v>
      </c>
      <c r="E825" t="s">
        <v>23</v>
      </c>
      <c r="F825" t="s">
        <v>56</v>
      </c>
      <c r="G825" t="s">
        <v>152</v>
      </c>
      <c r="H825" t="s">
        <v>153</v>
      </c>
      <c r="I825" t="s">
        <v>27</v>
      </c>
      <c r="J825" t="s">
        <v>984</v>
      </c>
      <c r="K825">
        <v>5373.62</v>
      </c>
      <c r="L825">
        <v>0.16809992360829101</v>
      </c>
      <c r="M825">
        <v>2020</v>
      </c>
      <c r="N825" t="s">
        <v>1171</v>
      </c>
      <c r="O825">
        <v>8</v>
      </c>
      <c r="P825" t="s">
        <v>1214</v>
      </c>
    </row>
    <row r="826" spans="1:16" x14ac:dyDescent="0.3">
      <c r="A826" t="s">
        <v>10</v>
      </c>
      <c r="B826">
        <v>64053.77</v>
      </c>
      <c r="C826">
        <v>54733.95</v>
      </c>
      <c r="D826" s="1">
        <v>43839</v>
      </c>
      <c r="E826" t="s">
        <v>76</v>
      </c>
      <c r="F826" t="s">
        <v>126</v>
      </c>
      <c r="G826" t="s">
        <v>13</v>
      </c>
      <c r="H826" t="s">
        <v>81</v>
      </c>
      <c r="I826" t="s">
        <v>27</v>
      </c>
      <c r="J826" t="s">
        <v>985</v>
      </c>
      <c r="K826">
        <v>9319.82</v>
      </c>
      <c r="L826">
        <v>0.14549994481199199</v>
      </c>
      <c r="M826">
        <v>2020</v>
      </c>
      <c r="N826" t="s">
        <v>1177</v>
      </c>
      <c r="O826">
        <v>1</v>
      </c>
      <c r="P826" t="s">
        <v>1217</v>
      </c>
    </row>
    <row r="827" spans="1:16" x14ac:dyDescent="0.3">
      <c r="A827" t="s">
        <v>54</v>
      </c>
      <c r="B827">
        <v>36747.24</v>
      </c>
      <c r="C827">
        <v>31900.28</v>
      </c>
      <c r="D827" s="1">
        <v>43484</v>
      </c>
      <c r="E827" t="s">
        <v>55</v>
      </c>
      <c r="F827" t="s">
        <v>56</v>
      </c>
      <c r="G827" t="s">
        <v>57</v>
      </c>
      <c r="H827" t="s">
        <v>58</v>
      </c>
      <c r="I827" t="s">
        <v>27</v>
      </c>
      <c r="J827" t="s">
        <v>986</v>
      </c>
      <c r="K827">
        <v>4846.96</v>
      </c>
      <c r="L827">
        <v>0.131899973984441</v>
      </c>
      <c r="M827">
        <v>2019</v>
      </c>
      <c r="N827" t="s">
        <v>1177</v>
      </c>
      <c r="O827">
        <v>1</v>
      </c>
      <c r="P827" t="s">
        <v>1217</v>
      </c>
    </row>
    <row r="828" spans="1:16" x14ac:dyDescent="0.3">
      <c r="A828" t="s">
        <v>10</v>
      </c>
      <c r="B828">
        <v>116548.17</v>
      </c>
      <c r="C828">
        <v>92119.67</v>
      </c>
      <c r="D828" s="1">
        <v>43956</v>
      </c>
      <c r="E828" t="s">
        <v>40</v>
      </c>
      <c r="F828" t="s">
        <v>56</v>
      </c>
      <c r="G828" t="s">
        <v>13</v>
      </c>
      <c r="H828" t="s">
        <v>81</v>
      </c>
      <c r="I828" t="s">
        <v>27</v>
      </c>
      <c r="J828" t="s">
        <v>987</v>
      </c>
      <c r="K828">
        <v>24428.5</v>
      </c>
      <c r="L828">
        <v>0.20960003061395099</v>
      </c>
      <c r="M828">
        <v>2020</v>
      </c>
      <c r="N828" t="s">
        <v>1173</v>
      </c>
      <c r="O828">
        <v>5</v>
      </c>
      <c r="P828" t="s">
        <v>1215</v>
      </c>
    </row>
    <row r="829" spans="1:16" x14ac:dyDescent="0.3">
      <c r="A829" t="s">
        <v>122</v>
      </c>
      <c r="B829">
        <v>98963.03</v>
      </c>
      <c r="C829">
        <v>80367.88</v>
      </c>
      <c r="D829" s="1">
        <v>44175</v>
      </c>
      <c r="E829" t="s">
        <v>55</v>
      </c>
      <c r="F829" t="s">
        <v>170</v>
      </c>
      <c r="G829" t="s">
        <v>123</v>
      </c>
      <c r="H829" t="s">
        <v>124</v>
      </c>
      <c r="I829" t="s">
        <v>27</v>
      </c>
      <c r="J829" t="s">
        <v>988</v>
      </c>
      <c r="K829">
        <v>18595.150000000001</v>
      </c>
      <c r="L829">
        <v>0.18789996628033701</v>
      </c>
      <c r="M829">
        <v>2020</v>
      </c>
      <c r="N829" t="s">
        <v>1182</v>
      </c>
      <c r="O829">
        <v>12</v>
      </c>
      <c r="P829" t="s">
        <v>1217</v>
      </c>
    </row>
    <row r="830" spans="1:16" x14ac:dyDescent="0.3">
      <c r="A830" t="s">
        <v>151</v>
      </c>
      <c r="B830">
        <v>126409.18</v>
      </c>
      <c r="C830">
        <v>104692.08</v>
      </c>
      <c r="D830" s="1">
        <v>43931</v>
      </c>
      <c r="E830" t="s">
        <v>51</v>
      </c>
      <c r="F830" t="s">
        <v>174</v>
      </c>
      <c r="G830" t="s">
        <v>152</v>
      </c>
      <c r="H830" t="s">
        <v>197</v>
      </c>
      <c r="I830" t="s">
        <v>27</v>
      </c>
      <c r="J830" t="s">
        <v>989</v>
      </c>
      <c r="K830">
        <v>21717.1</v>
      </c>
      <c r="L830">
        <v>0.17180002275151199</v>
      </c>
      <c r="M830">
        <v>2020</v>
      </c>
      <c r="N830" t="s">
        <v>1172</v>
      </c>
      <c r="O830">
        <v>4</v>
      </c>
      <c r="P830" t="s">
        <v>1215</v>
      </c>
    </row>
    <row r="831" spans="1:16" x14ac:dyDescent="0.3">
      <c r="A831" t="s">
        <v>34</v>
      </c>
      <c r="B831">
        <v>124537.47</v>
      </c>
      <c r="C831">
        <v>105881.76</v>
      </c>
      <c r="D831" s="1">
        <v>43732</v>
      </c>
      <c r="E831" t="s">
        <v>40</v>
      </c>
      <c r="F831" t="s">
        <v>256</v>
      </c>
      <c r="G831" t="s">
        <v>36</v>
      </c>
      <c r="H831" t="s">
        <v>104</v>
      </c>
      <c r="I831" t="s">
        <v>27</v>
      </c>
      <c r="J831" t="s">
        <v>990</v>
      </c>
      <c r="K831">
        <v>18655.71</v>
      </c>
      <c r="L831">
        <v>0.14979997586268601</v>
      </c>
      <c r="M831">
        <v>2019</v>
      </c>
      <c r="N831" t="s">
        <v>1175</v>
      </c>
      <c r="O831">
        <v>9</v>
      </c>
      <c r="P831" t="s">
        <v>1216</v>
      </c>
    </row>
    <row r="832" spans="1:16" x14ac:dyDescent="0.3">
      <c r="A832" t="s">
        <v>34</v>
      </c>
      <c r="B832">
        <v>159052.70000000001</v>
      </c>
      <c r="C832">
        <v>127926.09</v>
      </c>
      <c r="D832" s="1">
        <v>43471</v>
      </c>
      <c r="E832" t="s">
        <v>11</v>
      </c>
      <c r="F832" t="s">
        <v>461</v>
      </c>
      <c r="G832" t="s">
        <v>36</v>
      </c>
      <c r="H832" t="s">
        <v>37</v>
      </c>
      <c r="I832" t="s">
        <v>27</v>
      </c>
      <c r="J832" t="s">
        <v>991</v>
      </c>
      <c r="K832">
        <v>31126.61</v>
      </c>
      <c r="L832">
        <v>0.19569997868631001</v>
      </c>
      <c r="M832">
        <v>2019</v>
      </c>
      <c r="N832" t="s">
        <v>1177</v>
      </c>
      <c r="O832">
        <v>1</v>
      </c>
      <c r="P832" t="s">
        <v>1217</v>
      </c>
    </row>
    <row r="833" spans="1:16" x14ac:dyDescent="0.3">
      <c r="A833" t="s">
        <v>169</v>
      </c>
      <c r="B833">
        <v>58948.52</v>
      </c>
      <c r="C833">
        <v>49416.54</v>
      </c>
      <c r="D833" s="1">
        <v>43971</v>
      </c>
      <c r="E833" t="s">
        <v>40</v>
      </c>
      <c r="F833" t="s">
        <v>18</v>
      </c>
      <c r="G833" t="s">
        <v>171</v>
      </c>
      <c r="H833" t="s">
        <v>172</v>
      </c>
      <c r="I833" t="s">
        <v>27</v>
      </c>
      <c r="J833" t="s">
        <v>992</v>
      </c>
      <c r="K833">
        <v>9531.98</v>
      </c>
      <c r="L833">
        <v>0.16170007321642699</v>
      </c>
      <c r="M833">
        <v>2020</v>
      </c>
      <c r="N833" t="s">
        <v>1173</v>
      </c>
      <c r="O833">
        <v>5</v>
      </c>
      <c r="P833" t="s">
        <v>1215</v>
      </c>
    </row>
    <row r="834" spans="1:16" x14ac:dyDescent="0.3">
      <c r="A834" t="s">
        <v>39</v>
      </c>
      <c r="B834">
        <v>37636.910000000003</v>
      </c>
      <c r="C834">
        <v>30847.21</v>
      </c>
      <c r="D834" s="1">
        <v>43906</v>
      </c>
      <c r="E834" t="s">
        <v>23</v>
      </c>
      <c r="F834" t="s">
        <v>236</v>
      </c>
      <c r="G834" t="s">
        <v>42</v>
      </c>
      <c r="H834" t="s">
        <v>43</v>
      </c>
      <c r="I834" t="s">
        <v>32</v>
      </c>
      <c r="J834" t="s">
        <v>993</v>
      </c>
      <c r="K834">
        <v>6789.7</v>
      </c>
      <c r="L834">
        <v>0.18040003815403499</v>
      </c>
      <c r="M834">
        <v>2020</v>
      </c>
      <c r="N834" t="s">
        <v>1176</v>
      </c>
      <c r="O834">
        <v>3</v>
      </c>
      <c r="P834" t="s">
        <v>1215</v>
      </c>
    </row>
    <row r="835" spans="1:16" x14ac:dyDescent="0.3">
      <c r="A835" t="s">
        <v>122</v>
      </c>
      <c r="B835">
        <v>149372.32</v>
      </c>
      <c r="C835">
        <v>130611.16</v>
      </c>
      <c r="D835" s="1">
        <v>44185</v>
      </c>
      <c r="E835" t="s">
        <v>29</v>
      </c>
      <c r="F835" t="s">
        <v>183</v>
      </c>
      <c r="G835" t="s">
        <v>123</v>
      </c>
      <c r="H835" t="s">
        <v>254</v>
      </c>
      <c r="I835" t="s">
        <v>32</v>
      </c>
      <c r="J835" t="s">
        <v>994</v>
      </c>
      <c r="K835">
        <v>18761.16</v>
      </c>
      <c r="L835">
        <v>0.12559997729164299</v>
      </c>
      <c r="M835">
        <v>2020</v>
      </c>
      <c r="N835" t="s">
        <v>1182</v>
      </c>
      <c r="O835">
        <v>12</v>
      </c>
      <c r="P835" t="s">
        <v>1217</v>
      </c>
    </row>
    <row r="836" spans="1:16" x14ac:dyDescent="0.3">
      <c r="A836" t="s">
        <v>34</v>
      </c>
      <c r="B836">
        <v>124234.91</v>
      </c>
      <c r="C836">
        <v>98244.97</v>
      </c>
      <c r="D836" s="1">
        <v>44093</v>
      </c>
      <c r="E836" t="s">
        <v>181</v>
      </c>
      <c r="F836" t="s">
        <v>56</v>
      </c>
      <c r="G836" t="s">
        <v>36</v>
      </c>
      <c r="H836" t="s">
        <v>37</v>
      </c>
      <c r="I836" t="s">
        <v>27</v>
      </c>
      <c r="J836" t="s">
        <v>995</v>
      </c>
      <c r="K836">
        <v>25989.94</v>
      </c>
      <c r="L836">
        <v>0.20919997446772401</v>
      </c>
      <c r="M836">
        <v>2020</v>
      </c>
      <c r="N836" t="s">
        <v>1175</v>
      </c>
      <c r="O836">
        <v>9</v>
      </c>
      <c r="P836" t="s">
        <v>1216</v>
      </c>
    </row>
    <row r="837" spans="1:16" x14ac:dyDescent="0.3">
      <c r="A837" t="s">
        <v>22</v>
      </c>
      <c r="B837">
        <v>120453.52</v>
      </c>
      <c r="C837">
        <v>97218.04</v>
      </c>
      <c r="D837" s="1">
        <v>43771</v>
      </c>
      <c r="E837" t="s">
        <v>76</v>
      </c>
      <c r="F837" t="s">
        <v>156</v>
      </c>
      <c r="G837" t="s">
        <v>25</v>
      </c>
      <c r="H837" t="s">
        <v>87</v>
      </c>
      <c r="I837" t="s">
        <v>27</v>
      </c>
      <c r="J837" t="s">
        <v>996</v>
      </c>
      <c r="K837">
        <v>23235.48</v>
      </c>
      <c r="L837">
        <v>0.19289996672575399</v>
      </c>
      <c r="M837">
        <v>2019</v>
      </c>
      <c r="N837" t="s">
        <v>1180</v>
      </c>
      <c r="O837">
        <v>11</v>
      </c>
      <c r="P837" t="s">
        <v>1216</v>
      </c>
    </row>
    <row r="838" spans="1:16" x14ac:dyDescent="0.3">
      <c r="A838" t="s">
        <v>22</v>
      </c>
      <c r="B838">
        <v>50796.04</v>
      </c>
      <c r="C838">
        <v>44090.96</v>
      </c>
      <c r="D838" s="1">
        <v>43729</v>
      </c>
      <c r="E838" t="s">
        <v>91</v>
      </c>
      <c r="F838" t="s">
        <v>400</v>
      </c>
      <c r="G838" t="s">
        <v>25</v>
      </c>
      <c r="H838" t="s">
        <v>63</v>
      </c>
      <c r="I838" t="s">
        <v>27</v>
      </c>
      <c r="J838" t="s">
        <v>997</v>
      </c>
      <c r="K838">
        <v>6705.08</v>
      </c>
      <c r="L838">
        <v>0.13200005354748101</v>
      </c>
      <c r="M838">
        <v>2019</v>
      </c>
      <c r="N838" t="s">
        <v>1175</v>
      </c>
      <c r="O838">
        <v>9</v>
      </c>
      <c r="P838" t="s">
        <v>1216</v>
      </c>
    </row>
    <row r="839" spans="1:16" x14ac:dyDescent="0.3">
      <c r="A839" t="s">
        <v>129</v>
      </c>
      <c r="B839">
        <v>116563.4</v>
      </c>
      <c r="C839">
        <v>92807.78</v>
      </c>
      <c r="D839" s="1">
        <v>43734</v>
      </c>
      <c r="E839" t="s">
        <v>11</v>
      </c>
      <c r="F839" t="s">
        <v>256</v>
      </c>
      <c r="G839" t="s">
        <v>130</v>
      </c>
      <c r="H839" t="s">
        <v>159</v>
      </c>
      <c r="I839" t="s">
        <v>32</v>
      </c>
      <c r="J839" t="s">
        <v>998</v>
      </c>
      <c r="K839">
        <v>23755.62</v>
      </c>
      <c r="L839">
        <v>0.20379999210729999</v>
      </c>
      <c r="M839">
        <v>2019</v>
      </c>
      <c r="N839" t="s">
        <v>1175</v>
      </c>
      <c r="O839">
        <v>9</v>
      </c>
      <c r="P839" t="s">
        <v>1216</v>
      </c>
    </row>
    <row r="840" spans="1:16" x14ac:dyDescent="0.3">
      <c r="A840" t="s">
        <v>17</v>
      </c>
      <c r="B840">
        <v>19366.75</v>
      </c>
      <c r="C840">
        <v>15857.49</v>
      </c>
      <c r="D840" s="1">
        <v>43918</v>
      </c>
      <c r="E840" t="s">
        <v>11</v>
      </c>
      <c r="F840" t="s">
        <v>18</v>
      </c>
      <c r="G840" t="s">
        <v>19</v>
      </c>
      <c r="H840" t="s">
        <v>49</v>
      </c>
      <c r="I840" t="s">
        <v>27</v>
      </c>
      <c r="J840" t="s">
        <v>999</v>
      </c>
      <c r="K840">
        <v>3509.26</v>
      </c>
      <c r="L840">
        <v>0.18120025301095999</v>
      </c>
      <c r="M840">
        <v>2020</v>
      </c>
      <c r="N840" t="s">
        <v>1176</v>
      </c>
      <c r="O840">
        <v>3</v>
      </c>
      <c r="P840" t="s">
        <v>1215</v>
      </c>
    </row>
    <row r="841" spans="1:16" x14ac:dyDescent="0.3">
      <c r="A841" t="s">
        <v>17</v>
      </c>
      <c r="B841">
        <v>96613.06</v>
      </c>
      <c r="C841">
        <v>79242.03</v>
      </c>
      <c r="D841" s="1">
        <v>43579</v>
      </c>
      <c r="E841" t="s">
        <v>91</v>
      </c>
      <c r="F841" t="s">
        <v>56</v>
      </c>
      <c r="G841" t="s">
        <v>19</v>
      </c>
      <c r="H841" t="s">
        <v>157</v>
      </c>
      <c r="I841" t="s">
        <v>27</v>
      </c>
      <c r="J841" t="s">
        <v>1000</v>
      </c>
      <c r="K841">
        <v>17371.03</v>
      </c>
      <c r="L841">
        <v>0.179800018755228</v>
      </c>
      <c r="M841">
        <v>2019</v>
      </c>
      <c r="N841" t="s">
        <v>1172</v>
      </c>
      <c r="O841">
        <v>4</v>
      </c>
      <c r="P841" t="s">
        <v>1215</v>
      </c>
    </row>
    <row r="842" spans="1:16" x14ac:dyDescent="0.3">
      <c r="A842" t="s">
        <v>22</v>
      </c>
      <c r="B842">
        <v>296465.56</v>
      </c>
      <c r="C842">
        <v>257480.34</v>
      </c>
      <c r="D842" s="1">
        <v>43776</v>
      </c>
      <c r="E842" t="s">
        <v>40</v>
      </c>
      <c r="F842" t="s">
        <v>244</v>
      </c>
      <c r="G842" t="s">
        <v>25</v>
      </c>
      <c r="H842" t="s">
        <v>167</v>
      </c>
      <c r="I842" t="s">
        <v>27</v>
      </c>
      <c r="J842" t="s">
        <v>1001</v>
      </c>
      <c r="K842">
        <v>38985.22</v>
      </c>
      <c r="L842">
        <v>0.13149999615469701</v>
      </c>
      <c r="M842">
        <v>2019</v>
      </c>
      <c r="N842" t="s">
        <v>1180</v>
      </c>
      <c r="O842">
        <v>11</v>
      </c>
      <c r="P842" t="s">
        <v>1216</v>
      </c>
    </row>
    <row r="843" spans="1:16" x14ac:dyDescent="0.3">
      <c r="A843" t="s">
        <v>129</v>
      </c>
      <c r="B843">
        <v>35619.279999999999</v>
      </c>
      <c r="C843">
        <v>28192.66</v>
      </c>
      <c r="D843" s="1">
        <v>43678</v>
      </c>
      <c r="E843" t="s">
        <v>29</v>
      </c>
      <c r="F843" t="s">
        <v>300</v>
      </c>
      <c r="G843" t="s">
        <v>130</v>
      </c>
      <c r="H843" t="s">
        <v>159</v>
      </c>
      <c r="I843" t="s">
        <v>27</v>
      </c>
      <c r="J843" t="s">
        <v>1002</v>
      </c>
      <c r="K843">
        <v>7426.62</v>
      </c>
      <c r="L843">
        <v>0.20850000336896199</v>
      </c>
      <c r="M843">
        <v>2019</v>
      </c>
      <c r="N843" t="s">
        <v>1171</v>
      </c>
      <c r="O843">
        <v>8</v>
      </c>
      <c r="P843" t="s">
        <v>1214</v>
      </c>
    </row>
    <row r="844" spans="1:16" x14ac:dyDescent="0.3">
      <c r="A844" t="s">
        <v>17</v>
      </c>
      <c r="B844">
        <v>133985.91</v>
      </c>
      <c r="C844">
        <v>116741.92</v>
      </c>
      <c r="D844" s="1">
        <v>43480</v>
      </c>
      <c r="E844" t="s">
        <v>40</v>
      </c>
      <c r="F844" t="s">
        <v>80</v>
      </c>
      <c r="G844" t="s">
        <v>19</v>
      </c>
      <c r="H844" t="s">
        <v>20</v>
      </c>
      <c r="I844" t="s">
        <v>27</v>
      </c>
      <c r="J844" t="s">
        <v>1003</v>
      </c>
      <c r="K844">
        <v>17243.990000000002</v>
      </c>
      <c r="L844">
        <v>0.12870002524892399</v>
      </c>
      <c r="M844">
        <v>2019</v>
      </c>
      <c r="N844" t="s">
        <v>1177</v>
      </c>
      <c r="O844">
        <v>1</v>
      </c>
      <c r="P844" t="s">
        <v>1217</v>
      </c>
    </row>
    <row r="845" spans="1:16" x14ac:dyDescent="0.3">
      <c r="A845" t="s">
        <v>216</v>
      </c>
      <c r="B845">
        <v>119858.15</v>
      </c>
      <c r="C845">
        <v>99997.65</v>
      </c>
      <c r="D845" s="1">
        <v>44154</v>
      </c>
      <c r="E845" t="s">
        <v>29</v>
      </c>
      <c r="F845" t="s">
        <v>211</v>
      </c>
      <c r="G845" t="s">
        <v>217</v>
      </c>
      <c r="H845" t="s">
        <v>218</v>
      </c>
      <c r="I845" t="s">
        <v>27</v>
      </c>
      <c r="J845" t="s">
        <v>1004</v>
      </c>
      <c r="K845">
        <v>19860.5</v>
      </c>
      <c r="L845">
        <v>0.16570003791982399</v>
      </c>
      <c r="M845">
        <v>2020</v>
      </c>
      <c r="N845" t="s">
        <v>1180</v>
      </c>
      <c r="O845">
        <v>11</v>
      </c>
      <c r="P845" t="s">
        <v>1216</v>
      </c>
    </row>
    <row r="846" spans="1:16" x14ac:dyDescent="0.3">
      <c r="A846" t="s">
        <v>22</v>
      </c>
      <c r="B846">
        <v>85390.17</v>
      </c>
      <c r="C846">
        <v>74400.460000000006</v>
      </c>
      <c r="D846" s="1">
        <v>43490</v>
      </c>
      <c r="E846" t="s">
        <v>29</v>
      </c>
      <c r="F846" t="s">
        <v>415</v>
      </c>
      <c r="G846" t="s">
        <v>25</v>
      </c>
      <c r="H846" t="s">
        <v>87</v>
      </c>
      <c r="I846" t="s">
        <v>27</v>
      </c>
      <c r="J846" t="s">
        <v>1005</v>
      </c>
      <c r="K846">
        <v>10989.71</v>
      </c>
      <c r="L846">
        <v>0.12869994286227601</v>
      </c>
      <c r="M846">
        <v>2019</v>
      </c>
      <c r="N846" t="s">
        <v>1177</v>
      </c>
      <c r="O846">
        <v>1</v>
      </c>
      <c r="P846" t="s">
        <v>1217</v>
      </c>
    </row>
    <row r="847" spans="1:16" x14ac:dyDescent="0.3">
      <c r="A847" t="s">
        <v>122</v>
      </c>
      <c r="B847">
        <v>124611.61</v>
      </c>
      <c r="C847">
        <v>107776.58</v>
      </c>
      <c r="D847" s="1">
        <v>44093</v>
      </c>
      <c r="E847" t="s">
        <v>29</v>
      </c>
      <c r="F847" t="s">
        <v>89</v>
      </c>
      <c r="G847" t="s">
        <v>123</v>
      </c>
      <c r="H847" t="s">
        <v>254</v>
      </c>
      <c r="I847" t="s">
        <v>27</v>
      </c>
      <c r="J847" t="s">
        <v>1006</v>
      </c>
      <c r="K847">
        <v>16835.03</v>
      </c>
      <c r="L847">
        <v>0.13510001194912699</v>
      </c>
      <c r="M847">
        <v>2020</v>
      </c>
      <c r="N847" t="s">
        <v>1175</v>
      </c>
      <c r="O847">
        <v>9</v>
      </c>
      <c r="P847" t="s">
        <v>1216</v>
      </c>
    </row>
    <row r="848" spans="1:16" x14ac:dyDescent="0.3">
      <c r="A848" t="s">
        <v>129</v>
      </c>
      <c r="B848">
        <v>161984.91</v>
      </c>
      <c r="C848">
        <v>138237.92000000001</v>
      </c>
      <c r="D848" s="1">
        <v>44049</v>
      </c>
      <c r="E848" t="s">
        <v>23</v>
      </c>
      <c r="F848" t="s">
        <v>45</v>
      </c>
      <c r="G848" t="s">
        <v>130</v>
      </c>
      <c r="H848" t="s">
        <v>131</v>
      </c>
      <c r="I848" t="s">
        <v>27</v>
      </c>
      <c r="J848" t="s">
        <v>1007</v>
      </c>
      <c r="K848">
        <v>23746.99</v>
      </c>
      <c r="L848">
        <v>0.146600013544472</v>
      </c>
      <c r="M848">
        <v>2020</v>
      </c>
      <c r="N848" t="s">
        <v>1171</v>
      </c>
      <c r="O848">
        <v>8</v>
      </c>
      <c r="P848" t="s">
        <v>1214</v>
      </c>
    </row>
    <row r="849" spans="1:16" x14ac:dyDescent="0.3">
      <c r="A849" t="s">
        <v>247</v>
      </c>
      <c r="B849">
        <v>76183.740000000005</v>
      </c>
      <c r="C849">
        <v>61617.41</v>
      </c>
      <c r="D849" s="1">
        <v>43530</v>
      </c>
      <c r="E849" t="s">
        <v>40</v>
      </c>
      <c r="F849" t="s">
        <v>285</v>
      </c>
      <c r="G849" t="s">
        <v>248</v>
      </c>
      <c r="H849" t="s">
        <v>249</v>
      </c>
      <c r="I849" t="s">
        <v>32</v>
      </c>
      <c r="J849" t="s">
        <v>1008</v>
      </c>
      <c r="K849">
        <v>14566.33</v>
      </c>
      <c r="L849">
        <v>0.191199985718737</v>
      </c>
      <c r="M849">
        <v>2019</v>
      </c>
      <c r="N849" t="s">
        <v>1176</v>
      </c>
      <c r="O849">
        <v>3</v>
      </c>
      <c r="P849" t="s">
        <v>1215</v>
      </c>
    </row>
    <row r="850" spans="1:16" x14ac:dyDescent="0.3">
      <c r="A850" t="s">
        <v>10</v>
      </c>
      <c r="B850">
        <v>112228.82</v>
      </c>
      <c r="C850">
        <v>97470.73</v>
      </c>
      <c r="D850" s="1">
        <v>43723</v>
      </c>
      <c r="E850" t="s">
        <v>181</v>
      </c>
      <c r="F850" t="s">
        <v>335</v>
      </c>
      <c r="G850" t="s">
        <v>13</v>
      </c>
      <c r="H850" t="s">
        <v>72</v>
      </c>
      <c r="I850" t="s">
        <v>27</v>
      </c>
      <c r="J850" t="s">
        <v>1009</v>
      </c>
      <c r="K850">
        <v>14758.09</v>
      </c>
      <c r="L850">
        <v>0.13150000151476199</v>
      </c>
      <c r="M850">
        <v>2019</v>
      </c>
      <c r="N850" t="s">
        <v>1175</v>
      </c>
      <c r="O850">
        <v>9</v>
      </c>
      <c r="P850" t="s">
        <v>1216</v>
      </c>
    </row>
    <row r="851" spans="1:16" x14ac:dyDescent="0.3">
      <c r="A851" t="s">
        <v>22</v>
      </c>
      <c r="B851">
        <v>97291.62</v>
      </c>
      <c r="C851">
        <v>76899.3</v>
      </c>
      <c r="D851" s="1">
        <v>43862</v>
      </c>
      <c r="E851" t="s">
        <v>40</v>
      </c>
      <c r="F851" t="s">
        <v>56</v>
      </c>
      <c r="G851" t="s">
        <v>25</v>
      </c>
      <c r="H851" t="s">
        <v>63</v>
      </c>
      <c r="I851" t="s">
        <v>27</v>
      </c>
      <c r="J851" t="s">
        <v>1010</v>
      </c>
      <c r="K851">
        <v>20392.32</v>
      </c>
      <c r="L851">
        <v>0.209599963491203</v>
      </c>
      <c r="M851">
        <v>2020</v>
      </c>
      <c r="N851" t="s">
        <v>1181</v>
      </c>
      <c r="O851">
        <v>2</v>
      </c>
      <c r="P851" t="s">
        <v>1217</v>
      </c>
    </row>
    <row r="852" spans="1:16" x14ac:dyDescent="0.3">
      <c r="A852" t="s">
        <v>10</v>
      </c>
      <c r="B852">
        <v>131402.37</v>
      </c>
      <c r="C852">
        <v>106383.36</v>
      </c>
      <c r="D852" s="1">
        <v>43534</v>
      </c>
      <c r="E852" t="s">
        <v>76</v>
      </c>
      <c r="F852" t="s">
        <v>56</v>
      </c>
      <c r="G852" t="s">
        <v>13</v>
      </c>
      <c r="H852" t="s">
        <v>81</v>
      </c>
      <c r="I852" t="s">
        <v>27</v>
      </c>
      <c r="J852" t="s">
        <v>1011</v>
      </c>
      <c r="K852">
        <v>25019.01</v>
      </c>
      <c r="L852">
        <v>0.19039999050245399</v>
      </c>
      <c r="M852">
        <v>2019</v>
      </c>
      <c r="N852" t="s">
        <v>1176</v>
      </c>
      <c r="O852">
        <v>3</v>
      </c>
      <c r="P852" t="s">
        <v>1215</v>
      </c>
    </row>
    <row r="853" spans="1:16" x14ac:dyDescent="0.3">
      <c r="A853" t="s">
        <v>34</v>
      </c>
      <c r="B853">
        <v>173258.94</v>
      </c>
      <c r="C853">
        <v>143198.51</v>
      </c>
      <c r="D853" s="1">
        <v>43609</v>
      </c>
      <c r="E853" t="s">
        <v>40</v>
      </c>
      <c r="F853" t="s">
        <v>56</v>
      </c>
      <c r="G853" t="s">
        <v>36</v>
      </c>
      <c r="H853" t="s">
        <v>93</v>
      </c>
      <c r="I853" t="s">
        <v>27</v>
      </c>
      <c r="J853" t="s">
        <v>1012</v>
      </c>
      <c r="K853">
        <v>30060.43</v>
      </c>
      <c r="L853">
        <v>0.17350002256737801</v>
      </c>
      <c r="M853">
        <v>2019</v>
      </c>
      <c r="N853" t="s">
        <v>1173</v>
      </c>
      <c r="O853">
        <v>5</v>
      </c>
      <c r="P853" t="s">
        <v>1215</v>
      </c>
    </row>
    <row r="854" spans="1:16" x14ac:dyDescent="0.3">
      <c r="A854" t="s">
        <v>22</v>
      </c>
      <c r="B854">
        <v>72857.41</v>
      </c>
      <c r="C854">
        <v>60442.51</v>
      </c>
      <c r="D854" s="1">
        <v>44109</v>
      </c>
      <c r="E854" t="s">
        <v>40</v>
      </c>
      <c r="F854" t="s">
        <v>126</v>
      </c>
      <c r="G854" t="s">
        <v>25</v>
      </c>
      <c r="H854" t="s">
        <v>87</v>
      </c>
      <c r="I854" t="s">
        <v>27</v>
      </c>
      <c r="J854" t="s">
        <v>1013</v>
      </c>
      <c r="K854">
        <v>12414.9</v>
      </c>
      <c r="L854">
        <v>0.17039996343542799</v>
      </c>
      <c r="M854">
        <v>2020</v>
      </c>
      <c r="N854" t="s">
        <v>1178</v>
      </c>
      <c r="O854">
        <v>10</v>
      </c>
      <c r="P854" t="s">
        <v>1216</v>
      </c>
    </row>
    <row r="855" spans="1:16" x14ac:dyDescent="0.3">
      <c r="A855" t="s">
        <v>34</v>
      </c>
      <c r="B855">
        <v>99114.91</v>
      </c>
      <c r="C855">
        <v>84217.94</v>
      </c>
      <c r="D855" s="1">
        <v>43925</v>
      </c>
      <c r="E855" t="s">
        <v>40</v>
      </c>
      <c r="F855" t="s">
        <v>56</v>
      </c>
      <c r="G855" t="s">
        <v>36</v>
      </c>
      <c r="H855" t="s">
        <v>104</v>
      </c>
      <c r="I855" t="s">
        <v>27</v>
      </c>
      <c r="J855" t="s">
        <v>1014</v>
      </c>
      <c r="K855">
        <v>14896.97</v>
      </c>
      <c r="L855">
        <v>0.15029999018311199</v>
      </c>
      <c r="M855">
        <v>2020</v>
      </c>
      <c r="N855" t="s">
        <v>1172</v>
      </c>
      <c r="O855">
        <v>4</v>
      </c>
      <c r="P855" t="s">
        <v>1215</v>
      </c>
    </row>
    <row r="856" spans="1:16" x14ac:dyDescent="0.3">
      <c r="A856" t="s">
        <v>22</v>
      </c>
      <c r="B856">
        <v>102495.13</v>
      </c>
      <c r="C856">
        <v>85009.46</v>
      </c>
      <c r="D856" s="1">
        <v>44051</v>
      </c>
      <c r="E856" t="s">
        <v>51</v>
      </c>
      <c r="F856" t="s">
        <v>285</v>
      </c>
      <c r="G856" t="s">
        <v>25</v>
      </c>
      <c r="H856" t="s">
        <v>63</v>
      </c>
      <c r="I856" t="s">
        <v>15</v>
      </c>
      <c r="J856" t="s">
        <v>1015</v>
      </c>
      <c r="K856">
        <v>17485.669999999998</v>
      </c>
      <c r="L856">
        <v>0.170600008019893</v>
      </c>
      <c r="M856">
        <v>2020</v>
      </c>
      <c r="N856" t="s">
        <v>1171</v>
      </c>
      <c r="O856">
        <v>8</v>
      </c>
      <c r="P856" t="s">
        <v>1214</v>
      </c>
    </row>
    <row r="857" spans="1:16" x14ac:dyDescent="0.3">
      <c r="A857" t="s">
        <v>17</v>
      </c>
      <c r="B857">
        <v>119820.82</v>
      </c>
      <c r="C857">
        <v>98289.02</v>
      </c>
      <c r="D857" s="1">
        <v>43632</v>
      </c>
      <c r="E857" t="s">
        <v>23</v>
      </c>
      <c r="F857" t="s">
        <v>314</v>
      </c>
      <c r="G857" t="s">
        <v>19</v>
      </c>
      <c r="H857" t="s">
        <v>20</v>
      </c>
      <c r="I857" t="s">
        <v>27</v>
      </c>
      <c r="J857" t="s">
        <v>1016</v>
      </c>
      <c r="K857">
        <v>21531.8</v>
      </c>
      <c r="L857">
        <v>0.17969998869979401</v>
      </c>
      <c r="M857">
        <v>2019</v>
      </c>
      <c r="N857" t="s">
        <v>1179</v>
      </c>
      <c r="O857">
        <v>6</v>
      </c>
      <c r="P857" t="s">
        <v>1214</v>
      </c>
    </row>
    <row r="858" spans="1:16" x14ac:dyDescent="0.3">
      <c r="A858" t="s">
        <v>17</v>
      </c>
      <c r="B858">
        <v>66141.13</v>
      </c>
      <c r="C858">
        <v>53435.42</v>
      </c>
      <c r="D858" s="1">
        <v>43611</v>
      </c>
      <c r="E858" t="s">
        <v>40</v>
      </c>
      <c r="F858" t="s">
        <v>292</v>
      </c>
      <c r="G858" t="s">
        <v>19</v>
      </c>
      <c r="H858" t="s">
        <v>157</v>
      </c>
      <c r="I858" t="s">
        <v>27</v>
      </c>
      <c r="J858" t="s">
        <v>1017</v>
      </c>
      <c r="K858">
        <v>12705.71</v>
      </c>
      <c r="L858">
        <v>0.19209998377711399</v>
      </c>
      <c r="M858">
        <v>2019</v>
      </c>
      <c r="N858" t="s">
        <v>1173</v>
      </c>
      <c r="O858">
        <v>5</v>
      </c>
      <c r="P858" t="s">
        <v>1215</v>
      </c>
    </row>
    <row r="859" spans="1:16" x14ac:dyDescent="0.3">
      <c r="A859" t="s">
        <v>10</v>
      </c>
      <c r="B859">
        <v>149938.71</v>
      </c>
      <c r="C859">
        <v>131541.23000000001</v>
      </c>
      <c r="D859" s="1">
        <v>44189</v>
      </c>
      <c r="E859" t="s">
        <v>91</v>
      </c>
      <c r="F859" t="s">
        <v>373</v>
      </c>
      <c r="G859" t="s">
        <v>13</v>
      </c>
      <c r="H859" t="s">
        <v>72</v>
      </c>
      <c r="I859" t="s">
        <v>27</v>
      </c>
      <c r="J859" t="s">
        <v>1018</v>
      </c>
      <c r="K859">
        <v>18397.48</v>
      </c>
      <c r="L859">
        <v>0.122700001887438</v>
      </c>
      <c r="M859">
        <v>2020</v>
      </c>
      <c r="N859" t="s">
        <v>1182</v>
      </c>
      <c r="O859">
        <v>12</v>
      </c>
      <c r="P859" t="s">
        <v>1217</v>
      </c>
    </row>
    <row r="860" spans="1:16" x14ac:dyDescent="0.3">
      <c r="A860" t="s">
        <v>10</v>
      </c>
      <c r="B860">
        <v>124093.75999999999</v>
      </c>
      <c r="C860">
        <v>105231.51</v>
      </c>
      <c r="D860" s="1">
        <v>43753</v>
      </c>
      <c r="E860" t="s">
        <v>29</v>
      </c>
      <c r="F860" t="s">
        <v>126</v>
      </c>
      <c r="G860" t="s">
        <v>13</v>
      </c>
      <c r="H860" t="s">
        <v>81</v>
      </c>
      <c r="I860" t="s">
        <v>27</v>
      </c>
      <c r="J860" t="s">
        <v>1019</v>
      </c>
      <c r="K860">
        <v>18862.25</v>
      </c>
      <c r="L860">
        <v>0.151999987751197</v>
      </c>
      <c r="M860">
        <v>2019</v>
      </c>
      <c r="N860" t="s">
        <v>1178</v>
      </c>
      <c r="O860">
        <v>10</v>
      </c>
      <c r="P860" t="s">
        <v>1216</v>
      </c>
    </row>
    <row r="861" spans="1:16" x14ac:dyDescent="0.3">
      <c r="A861" t="s">
        <v>17</v>
      </c>
      <c r="B861">
        <v>98915.41</v>
      </c>
      <c r="C861">
        <v>85176.06</v>
      </c>
      <c r="D861" s="1">
        <v>43865</v>
      </c>
      <c r="E861" t="s">
        <v>29</v>
      </c>
      <c r="F861" t="s">
        <v>35</v>
      </c>
      <c r="G861" t="s">
        <v>19</v>
      </c>
      <c r="H861" t="s">
        <v>157</v>
      </c>
      <c r="I861" t="s">
        <v>32</v>
      </c>
      <c r="J861" t="s">
        <v>1020</v>
      </c>
      <c r="K861">
        <v>13739.35</v>
      </c>
      <c r="L861">
        <v>0.13889999546076801</v>
      </c>
      <c r="M861">
        <v>2020</v>
      </c>
      <c r="N861" t="s">
        <v>1181</v>
      </c>
      <c r="O861">
        <v>2</v>
      </c>
      <c r="P861" t="s">
        <v>1217</v>
      </c>
    </row>
    <row r="862" spans="1:16" x14ac:dyDescent="0.3">
      <c r="A862" t="s">
        <v>17</v>
      </c>
      <c r="B862">
        <v>141948.10999999999</v>
      </c>
      <c r="C862">
        <v>112948.11</v>
      </c>
      <c r="D862" s="1">
        <v>43946</v>
      </c>
      <c r="E862" t="s">
        <v>91</v>
      </c>
      <c r="F862" t="s">
        <v>292</v>
      </c>
      <c r="G862" t="s">
        <v>19</v>
      </c>
      <c r="H862" t="s">
        <v>78</v>
      </c>
      <c r="I862" t="s">
        <v>27</v>
      </c>
      <c r="J862" t="s">
        <v>1021</v>
      </c>
      <c r="K862">
        <v>29000</v>
      </c>
      <c r="L862">
        <v>0.20430000793952099</v>
      </c>
      <c r="M862">
        <v>2020</v>
      </c>
      <c r="N862" t="s">
        <v>1172</v>
      </c>
      <c r="O862">
        <v>4</v>
      </c>
      <c r="P862" t="s">
        <v>1215</v>
      </c>
    </row>
    <row r="863" spans="1:16" x14ac:dyDescent="0.3">
      <c r="A863" t="s">
        <v>17</v>
      </c>
      <c r="B863">
        <v>162123.74</v>
      </c>
      <c r="C863">
        <v>133979.06</v>
      </c>
      <c r="D863" s="1">
        <v>43935</v>
      </c>
      <c r="E863" t="s">
        <v>76</v>
      </c>
      <c r="F863" t="s">
        <v>56</v>
      </c>
      <c r="G863" t="s">
        <v>19</v>
      </c>
      <c r="H863" t="s">
        <v>78</v>
      </c>
      <c r="I863" t="s">
        <v>27</v>
      </c>
      <c r="J863" t="s">
        <v>1022</v>
      </c>
      <c r="K863">
        <v>28144.68</v>
      </c>
      <c r="L863">
        <v>0.17359999220348599</v>
      </c>
      <c r="M863">
        <v>2020</v>
      </c>
      <c r="N863" t="s">
        <v>1172</v>
      </c>
      <c r="O863">
        <v>4</v>
      </c>
      <c r="P863" t="s">
        <v>1215</v>
      </c>
    </row>
    <row r="864" spans="1:16" x14ac:dyDescent="0.3">
      <c r="A864" t="s">
        <v>54</v>
      </c>
      <c r="B864">
        <v>44118.5</v>
      </c>
      <c r="C864">
        <v>38250.74</v>
      </c>
      <c r="D864" s="1">
        <v>43924</v>
      </c>
      <c r="E864" t="s">
        <v>29</v>
      </c>
      <c r="F864" t="s">
        <v>45</v>
      </c>
      <c r="G864" t="s">
        <v>57</v>
      </c>
      <c r="H864" t="s">
        <v>58</v>
      </c>
      <c r="I864" t="s">
        <v>32</v>
      </c>
      <c r="J864" t="s">
        <v>1023</v>
      </c>
      <c r="K864">
        <v>5867.76</v>
      </c>
      <c r="L864">
        <v>0.132999988666886</v>
      </c>
      <c r="M864">
        <v>2020</v>
      </c>
      <c r="N864" t="s">
        <v>1172</v>
      </c>
      <c r="O864">
        <v>4</v>
      </c>
      <c r="P864" t="s">
        <v>1215</v>
      </c>
    </row>
    <row r="865" spans="1:16" x14ac:dyDescent="0.3">
      <c r="A865" t="s">
        <v>216</v>
      </c>
      <c r="B865">
        <v>85237.91</v>
      </c>
      <c r="C865">
        <v>72384.03</v>
      </c>
      <c r="D865" s="1">
        <v>43908</v>
      </c>
      <c r="E865" t="s">
        <v>51</v>
      </c>
      <c r="F865" t="s">
        <v>126</v>
      </c>
      <c r="G865" t="s">
        <v>217</v>
      </c>
      <c r="H865" t="s">
        <v>218</v>
      </c>
      <c r="I865" t="s">
        <v>27</v>
      </c>
      <c r="J865" t="s">
        <v>1024</v>
      </c>
      <c r="K865">
        <v>12853.88</v>
      </c>
      <c r="L865">
        <v>0.150800037213489</v>
      </c>
      <c r="M865">
        <v>2020</v>
      </c>
      <c r="N865" t="s">
        <v>1176</v>
      </c>
      <c r="O865">
        <v>3</v>
      </c>
      <c r="P865" t="s">
        <v>1215</v>
      </c>
    </row>
    <row r="866" spans="1:16" x14ac:dyDescent="0.3">
      <c r="A866" t="s">
        <v>17</v>
      </c>
      <c r="B866">
        <v>65036.81</v>
      </c>
      <c r="C866">
        <v>52361.14</v>
      </c>
      <c r="D866" s="1">
        <v>43615</v>
      </c>
      <c r="E866" t="s">
        <v>99</v>
      </c>
      <c r="F866" t="s">
        <v>314</v>
      </c>
      <c r="G866" t="s">
        <v>19</v>
      </c>
      <c r="H866" t="s">
        <v>20</v>
      </c>
      <c r="I866" t="s">
        <v>27</v>
      </c>
      <c r="J866" t="s">
        <v>1025</v>
      </c>
      <c r="K866">
        <v>12675.67</v>
      </c>
      <c r="L866">
        <v>0.19489993436024899</v>
      </c>
      <c r="M866">
        <v>2019</v>
      </c>
      <c r="N866" t="s">
        <v>1173</v>
      </c>
      <c r="O866">
        <v>5</v>
      </c>
      <c r="P866" t="s">
        <v>1215</v>
      </c>
    </row>
    <row r="867" spans="1:16" x14ac:dyDescent="0.3">
      <c r="A867" t="s">
        <v>22</v>
      </c>
      <c r="B867">
        <v>49990.720000000001</v>
      </c>
      <c r="C867">
        <v>42927.03</v>
      </c>
      <c r="D867" s="1">
        <v>43922</v>
      </c>
      <c r="E867" t="s">
        <v>29</v>
      </c>
      <c r="F867" t="s">
        <v>149</v>
      </c>
      <c r="G867" t="s">
        <v>25</v>
      </c>
      <c r="H867" t="s">
        <v>167</v>
      </c>
      <c r="I867" t="s">
        <v>27</v>
      </c>
      <c r="J867" t="s">
        <v>1026</v>
      </c>
      <c r="K867">
        <v>7063.69</v>
      </c>
      <c r="L867">
        <v>0.14130002528469299</v>
      </c>
      <c r="M867">
        <v>2020</v>
      </c>
      <c r="N867" t="s">
        <v>1172</v>
      </c>
      <c r="O867">
        <v>4</v>
      </c>
      <c r="P867" t="s">
        <v>1215</v>
      </c>
    </row>
    <row r="868" spans="1:16" x14ac:dyDescent="0.3">
      <c r="A868" t="s">
        <v>22</v>
      </c>
      <c r="B868">
        <v>47186.74</v>
      </c>
      <c r="C868">
        <v>38112.730000000003</v>
      </c>
      <c r="D868" s="1">
        <v>43674</v>
      </c>
      <c r="E868" t="s">
        <v>29</v>
      </c>
      <c r="F868" t="s">
        <v>302</v>
      </c>
      <c r="G868" t="s">
        <v>25</v>
      </c>
      <c r="H868" t="s">
        <v>52</v>
      </c>
      <c r="I868" t="s">
        <v>27</v>
      </c>
      <c r="J868" t="s">
        <v>1027</v>
      </c>
      <c r="K868">
        <v>9074.01</v>
      </c>
      <c r="L868">
        <v>0.19229999783837601</v>
      </c>
      <c r="M868">
        <v>2019</v>
      </c>
      <c r="N868" t="s">
        <v>1174</v>
      </c>
      <c r="O868">
        <v>7</v>
      </c>
      <c r="P868" t="s">
        <v>1214</v>
      </c>
    </row>
    <row r="869" spans="1:16" x14ac:dyDescent="0.3">
      <c r="A869" t="s">
        <v>22</v>
      </c>
      <c r="B869">
        <v>148037.71</v>
      </c>
      <c r="C869">
        <v>117867.62</v>
      </c>
      <c r="D869" s="1">
        <v>43935</v>
      </c>
      <c r="E869" t="s">
        <v>29</v>
      </c>
      <c r="F869" t="s">
        <v>45</v>
      </c>
      <c r="G869" t="s">
        <v>25</v>
      </c>
      <c r="H869" t="s">
        <v>26</v>
      </c>
      <c r="I869" t="s">
        <v>27</v>
      </c>
      <c r="J869" t="s">
        <v>1028</v>
      </c>
      <c r="K869">
        <v>30170.09</v>
      </c>
      <c r="L869">
        <v>0.20380003176217701</v>
      </c>
      <c r="M869">
        <v>2020</v>
      </c>
      <c r="N869" t="s">
        <v>1172</v>
      </c>
      <c r="O869">
        <v>4</v>
      </c>
      <c r="P869" t="s">
        <v>1215</v>
      </c>
    </row>
    <row r="870" spans="1:16" x14ac:dyDescent="0.3">
      <c r="A870" t="s">
        <v>129</v>
      </c>
      <c r="B870">
        <v>118267.02710000001</v>
      </c>
      <c r="C870">
        <v>205674.91</v>
      </c>
      <c r="D870" s="1">
        <v>44188</v>
      </c>
      <c r="E870" t="s">
        <v>40</v>
      </c>
      <c r="F870" t="s">
        <v>106</v>
      </c>
      <c r="G870" t="s">
        <v>130</v>
      </c>
      <c r="H870" t="s">
        <v>159</v>
      </c>
      <c r="I870" t="s">
        <v>27</v>
      </c>
      <c r="J870" t="s">
        <v>1029</v>
      </c>
      <c r="K870">
        <v>-87407.882899999997</v>
      </c>
      <c r="L870">
        <v>-0.73907229295695998</v>
      </c>
      <c r="M870">
        <v>2020</v>
      </c>
      <c r="N870" t="s">
        <v>1182</v>
      </c>
      <c r="O870">
        <v>12</v>
      </c>
      <c r="P870" t="s">
        <v>1217</v>
      </c>
    </row>
    <row r="871" spans="1:16" x14ac:dyDescent="0.3">
      <c r="A871" t="s">
        <v>22</v>
      </c>
      <c r="B871">
        <v>137419.29999999999</v>
      </c>
      <c r="C871">
        <v>117658.4</v>
      </c>
      <c r="D871" s="1">
        <v>43966</v>
      </c>
      <c r="E871" t="s">
        <v>11</v>
      </c>
      <c r="F871" t="s">
        <v>434</v>
      </c>
      <c r="G871" t="s">
        <v>25</v>
      </c>
      <c r="H871" t="s">
        <v>167</v>
      </c>
      <c r="I871" t="s">
        <v>32</v>
      </c>
      <c r="J871" t="s">
        <v>1030</v>
      </c>
      <c r="K871">
        <v>19760.900000000001</v>
      </c>
      <c r="L871">
        <v>0.143800033910812</v>
      </c>
      <c r="M871">
        <v>2020</v>
      </c>
      <c r="N871" t="s">
        <v>1173</v>
      </c>
      <c r="O871">
        <v>5</v>
      </c>
      <c r="P871" t="s">
        <v>1215</v>
      </c>
    </row>
    <row r="872" spans="1:16" x14ac:dyDescent="0.3">
      <c r="A872" t="s">
        <v>10</v>
      </c>
      <c r="B872">
        <v>177867.3</v>
      </c>
      <c r="C872">
        <v>140675.25</v>
      </c>
      <c r="D872" s="1">
        <v>43900</v>
      </c>
      <c r="E872" t="s">
        <v>51</v>
      </c>
      <c r="F872" t="s">
        <v>373</v>
      </c>
      <c r="G872" t="s">
        <v>13</v>
      </c>
      <c r="H872" t="s">
        <v>81</v>
      </c>
      <c r="I872" t="s">
        <v>27</v>
      </c>
      <c r="J872" t="s">
        <v>1031</v>
      </c>
      <c r="K872">
        <v>37192.050000000003</v>
      </c>
      <c r="L872">
        <v>0.20909998633813001</v>
      </c>
      <c r="M872">
        <v>2020</v>
      </c>
      <c r="N872" t="s">
        <v>1176</v>
      </c>
      <c r="O872">
        <v>3</v>
      </c>
      <c r="P872" t="s">
        <v>1215</v>
      </c>
    </row>
    <row r="873" spans="1:16" x14ac:dyDescent="0.3">
      <c r="A873" t="s">
        <v>22</v>
      </c>
      <c r="B873">
        <v>25834.34</v>
      </c>
      <c r="C873">
        <v>22450.04</v>
      </c>
      <c r="D873" s="1">
        <v>43903</v>
      </c>
      <c r="E873" t="s">
        <v>29</v>
      </c>
      <c r="F873" t="s">
        <v>45</v>
      </c>
      <c r="G873" t="s">
        <v>25</v>
      </c>
      <c r="H873" t="s">
        <v>87</v>
      </c>
      <c r="I873" t="s">
        <v>32</v>
      </c>
      <c r="J873" t="s">
        <v>1032</v>
      </c>
      <c r="K873">
        <v>3384.3</v>
      </c>
      <c r="L873">
        <v>0.13100005651392699</v>
      </c>
      <c r="M873">
        <v>2020</v>
      </c>
      <c r="N873" t="s">
        <v>1176</v>
      </c>
      <c r="O873">
        <v>3</v>
      </c>
      <c r="P873" t="s">
        <v>1215</v>
      </c>
    </row>
    <row r="874" spans="1:16" x14ac:dyDescent="0.3">
      <c r="A874" t="s">
        <v>143</v>
      </c>
      <c r="B874">
        <v>127143.54</v>
      </c>
      <c r="C874">
        <v>105033.28</v>
      </c>
      <c r="D874" s="1">
        <v>43534</v>
      </c>
      <c r="E874" t="s">
        <v>29</v>
      </c>
      <c r="F874" t="s">
        <v>300</v>
      </c>
      <c r="G874" t="s">
        <v>145</v>
      </c>
      <c r="H874" t="s">
        <v>206</v>
      </c>
      <c r="I874" t="s">
        <v>27</v>
      </c>
      <c r="J874" t="s">
        <v>1033</v>
      </c>
      <c r="K874">
        <v>22110.26</v>
      </c>
      <c r="L874">
        <v>0.17389998736860701</v>
      </c>
      <c r="M874">
        <v>2019</v>
      </c>
      <c r="N874" t="s">
        <v>1176</v>
      </c>
      <c r="O874">
        <v>3</v>
      </c>
      <c r="P874" t="s">
        <v>1215</v>
      </c>
    </row>
    <row r="875" spans="1:16" x14ac:dyDescent="0.3">
      <c r="A875" t="s">
        <v>10</v>
      </c>
      <c r="B875">
        <v>166507.76</v>
      </c>
      <c r="C875">
        <v>143896.01</v>
      </c>
      <c r="D875" s="1">
        <v>44070</v>
      </c>
      <c r="E875" t="s">
        <v>55</v>
      </c>
      <c r="F875" t="s">
        <v>41</v>
      </c>
      <c r="G875" t="s">
        <v>13</v>
      </c>
      <c r="H875" t="s">
        <v>72</v>
      </c>
      <c r="I875" t="s">
        <v>27</v>
      </c>
      <c r="J875" t="s">
        <v>1034</v>
      </c>
      <c r="K875">
        <v>22611.75</v>
      </c>
      <c r="L875">
        <v>0.13579997713019501</v>
      </c>
      <c r="M875">
        <v>2020</v>
      </c>
      <c r="N875" t="s">
        <v>1171</v>
      </c>
      <c r="O875">
        <v>8</v>
      </c>
      <c r="P875" t="s">
        <v>1214</v>
      </c>
    </row>
    <row r="876" spans="1:16" x14ac:dyDescent="0.3">
      <c r="A876" t="s">
        <v>129</v>
      </c>
      <c r="B876">
        <v>125851.79</v>
      </c>
      <c r="C876">
        <v>103777.39</v>
      </c>
      <c r="D876" s="1">
        <v>44150</v>
      </c>
      <c r="E876" t="s">
        <v>11</v>
      </c>
      <c r="F876" t="s">
        <v>269</v>
      </c>
      <c r="G876" t="s">
        <v>130</v>
      </c>
      <c r="H876" t="s">
        <v>131</v>
      </c>
      <c r="I876" t="s">
        <v>27</v>
      </c>
      <c r="J876" t="s">
        <v>1035</v>
      </c>
      <c r="K876">
        <v>22074.400000000001</v>
      </c>
      <c r="L876">
        <v>0.175399968486741</v>
      </c>
      <c r="M876">
        <v>2020</v>
      </c>
      <c r="N876" t="s">
        <v>1180</v>
      </c>
      <c r="O876">
        <v>11</v>
      </c>
      <c r="P876" t="s">
        <v>1216</v>
      </c>
    </row>
    <row r="877" spans="1:16" x14ac:dyDescent="0.3">
      <c r="A877" t="s">
        <v>151</v>
      </c>
      <c r="B877">
        <v>117288.29</v>
      </c>
      <c r="C877">
        <v>94546.09</v>
      </c>
      <c r="D877" s="1">
        <v>43562</v>
      </c>
      <c r="E877" t="s">
        <v>40</v>
      </c>
      <c r="F877" t="s">
        <v>56</v>
      </c>
      <c r="G877" t="s">
        <v>152</v>
      </c>
      <c r="H877" t="s">
        <v>153</v>
      </c>
      <c r="I877" t="s">
        <v>27</v>
      </c>
      <c r="J877" t="s">
        <v>1036</v>
      </c>
      <c r="K877">
        <v>22742.2</v>
      </c>
      <c r="L877">
        <v>0.19390000485129399</v>
      </c>
      <c r="M877">
        <v>2019</v>
      </c>
      <c r="N877" t="s">
        <v>1172</v>
      </c>
      <c r="O877">
        <v>4</v>
      </c>
      <c r="P877" t="s">
        <v>1215</v>
      </c>
    </row>
    <row r="878" spans="1:16" x14ac:dyDescent="0.3">
      <c r="A878" t="s">
        <v>34</v>
      </c>
      <c r="B878">
        <v>121246.32</v>
      </c>
      <c r="C878">
        <v>104005.09</v>
      </c>
      <c r="D878" s="1">
        <v>43981</v>
      </c>
      <c r="E878" t="s">
        <v>91</v>
      </c>
      <c r="F878" t="s">
        <v>97</v>
      </c>
      <c r="G878" t="s">
        <v>36</v>
      </c>
      <c r="H878" t="s">
        <v>104</v>
      </c>
      <c r="I878" t="s">
        <v>27</v>
      </c>
      <c r="J878" t="s">
        <v>1037</v>
      </c>
      <c r="K878">
        <v>17241.23</v>
      </c>
      <c r="L878">
        <v>0.14220002718433</v>
      </c>
      <c r="M878">
        <v>2020</v>
      </c>
      <c r="N878" t="s">
        <v>1173</v>
      </c>
      <c r="O878">
        <v>5</v>
      </c>
      <c r="P878" t="s">
        <v>1215</v>
      </c>
    </row>
    <row r="879" spans="1:16" x14ac:dyDescent="0.3">
      <c r="A879" t="s">
        <v>216</v>
      </c>
      <c r="B879">
        <v>28787.17</v>
      </c>
      <c r="C879">
        <v>24610.15</v>
      </c>
      <c r="D879" s="1">
        <v>43624</v>
      </c>
      <c r="E879" t="s">
        <v>11</v>
      </c>
      <c r="F879" t="s">
        <v>211</v>
      </c>
      <c r="G879" t="s">
        <v>217</v>
      </c>
      <c r="H879" t="s">
        <v>218</v>
      </c>
      <c r="I879" t="s">
        <v>27</v>
      </c>
      <c r="J879" t="s">
        <v>1038</v>
      </c>
      <c r="K879">
        <v>4177.0200000000004</v>
      </c>
      <c r="L879">
        <v>0.14510005672665999</v>
      </c>
      <c r="M879">
        <v>2019</v>
      </c>
      <c r="N879" t="s">
        <v>1179</v>
      </c>
      <c r="O879">
        <v>6</v>
      </c>
      <c r="P879" t="s">
        <v>1214</v>
      </c>
    </row>
    <row r="880" spans="1:16" x14ac:dyDescent="0.3">
      <c r="A880" t="s">
        <v>17</v>
      </c>
      <c r="B880">
        <v>36276.11</v>
      </c>
      <c r="C880">
        <v>28748.82</v>
      </c>
      <c r="D880" s="1">
        <v>43547</v>
      </c>
      <c r="E880" t="s">
        <v>11</v>
      </c>
      <c r="F880" t="s">
        <v>56</v>
      </c>
      <c r="G880" t="s">
        <v>19</v>
      </c>
      <c r="H880" t="s">
        <v>157</v>
      </c>
      <c r="I880" t="s">
        <v>27</v>
      </c>
      <c r="J880" t="s">
        <v>1039</v>
      </c>
      <c r="K880">
        <v>7527.29</v>
      </c>
      <c r="L880">
        <v>0.207499922125057</v>
      </c>
      <c r="M880">
        <v>2019</v>
      </c>
      <c r="N880" t="s">
        <v>1176</v>
      </c>
      <c r="O880">
        <v>3</v>
      </c>
      <c r="P880" t="s">
        <v>1215</v>
      </c>
    </row>
    <row r="881" spans="1:16" x14ac:dyDescent="0.3">
      <c r="A881" t="s">
        <v>22</v>
      </c>
      <c r="B881">
        <v>127631.89</v>
      </c>
      <c r="C881">
        <v>110963.17</v>
      </c>
      <c r="D881" s="1">
        <v>43793</v>
      </c>
      <c r="E881" t="s">
        <v>40</v>
      </c>
      <c r="F881" t="s">
        <v>156</v>
      </c>
      <c r="G881" t="s">
        <v>25</v>
      </c>
      <c r="H881" t="s">
        <v>26</v>
      </c>
      <c r="I881" t="s">
        <v>27</v>
      </c>
      <c r="J881" t="s">
        <v>1040</v>
      </c>
      <c r="K881">
        <v>16668.72</v>
      </c>
      <c r="L881">
        <v>0.130599962125453</v>
      </c>
      <c r="M881">
        <v>2019</v>
      </c>
      <c r="N881" t="s">
        <v>1180</v>
      </c>
      <c r="O881">
        <v>11</v>
      </c>
      <c r="P881" t="s">
        <v>1216</v>
      </c>
    </row>
    <row r="882" spans="1:16" x14ac:dyDescent="0.3">
      <c r="A882" t="s">
        <v>10</v>
      </c>
      <c r="B882">
        <v>118982.14</v>
      </c>
      <c r="C882">
        <v>95506.96</v>
      </c>
      <c r="D882" s="1">
        <v>43845</v>
      </c>
      <c r="E882" t="s">
        <v>40</v>
      </c>
      <c r="F882" t="s">
        <v>225</v>
      </c>
      <c r="G882" t="s">
        <v>13</v>
      </c>
      <c r="H882" t="s">
        <v>110</v>
      </c>
      <c r="I882" t="s">
        <v>32</v>
      </c>
      <c r="J882" t="s">
        <v>1041</v>
      </c>
      <c r="K882">
        <v>23475.18</v>
      </c>
      <c r="L882">
        <v>0.197300031752665</v>
      </c>
      <c r="M882">
        <v>2020</v>
      </c>
      <c r="N882" t="s">
        <v>1177</v>
      </c>
      <c r="O882">
        <v>1</v>
      </c>
      <c r="P882" t="s">
        <v>1217</v>
      </c>
    </row>
    <row r="883" spans="1:16" x14ac:dyDescent="0.3">
      <c r="A883" t="s">
        <v>10</v>
      </c>
      <c r="B883">
        <v>122273</v>
      </c>
      <c r="C883">
        <v>104531.19</v>
      </c>
      <c r="D883" s="1">
        <v>44013</v>
      </c>
      <c r="E883" t="s">
        <v>23</v>
      </c>
      <c r="F883" t="s">
        <v>164</v>
      </c>
      <c r="G883" t="s">
        <v>13</v>
      </c>
      <c r="H883" t="s">
        <v>110</v>
      </c>
      <c r="I883" t="s">
        <v>27</v>
      </c>
      <c r="J883" t="s">
        <v>1042</v>
      </c>
      <c r="K883">
        <v>17741.810000000001</v>
      </c>
      <c r="L883">
        <v>0.14509998118963299</v>
      </c>
      <c r="M883">
        <v>2020</v>
      </c>
      <c r="N883" t="s">
        <v>1174</v>
      </c>
      <c r="O883">
        <v>7</v>
      </c>
      <c r="P883" t="s">
        <v>1214</v>
      </c>
    </row>
    <row r="884" spans="1:16" x14ac:dyDescent="0.3">
      <c r="A884" t="s">
        <v>10</v>
      </c>
      <c r="B884">
        <v>127939.8</v>
      </c>
      <c r="C884">
        <v>112267.17</v>
      </c>
      <c r="D884" s="1">
        <v>43720</v>
      </c>
      <c r="E884" t="s">
        <v>40</v>
      </c>
      <c r="F884" t="s">
        <v>335</v>
      </c>
      <c r="G884" t="s">
        <v>13</v>
      </c>
      <c r="H884" t="s">
        <v>46</v>
      </c>
      <c r="I884" t="s">
        <v>27</v>
      </c>
      <c r="J884" t="s">
        <v>1043</v>
      </c>
      <c r="K884">
        <v>15672.63</v>
      </c>
      <c r="L884">
        <v>0.122500035172792</v>
      </c>
      <c r="M884">
        <v>2019</v>
      </c>
      <c r="N884" t="s">
        <v>1175</v>
      </c>
      <c r="O884">
        <v>9</v>
      </c>
      <c r="P884" t="s">
        <v>1216</v>
      </c>
    </row>
    <row r="885" spans="1:16" x14ac:dyDescent="0.3">
      <c r="A885" t="s">
        <v>22</v>
      </c>
      <c r="B885">
        <v>107716.72</v>
      </c>
      <c r="C885">
        <v>86679.64</v>
      </c>
      <c r="D885" s="1">
        <v>43848</v>
      </c>
      <c r="E885" t="s">
        <v>55</v>
      </c>
      <c r="F885" t="s">
        <v>60</v>
      </c>
      <c r="G885" t="s">
        <v>25</v>
      </c>
      <c r="H885" t="s">
        <v>87</v>
      </c>
      <c r="I885" t="s">
        <v>32</v>
      </c>
      <c r="J885" t="s">
        <v>1044</v>
      </c>
      <c r="K885">
        <v>21037.08</v>
      </c>
      <c r="L885">
        <v>0.19530004255606701</v>
      </c>
      <c r="M885">
        <v>2020</v>
      </c>
      <c r="N885" t="s">
        <v>1177</v>
      </c>
      <c r="O885">
        <v>1</v>
      </c>
      <c r="P885" t="s">
        <v>1217</v>
      </c>
    </row>
    <row r="886" spans="1:16" x14ac:dyDescent="0.3">
      <c r="A886" t="s">
        <v>54</v>
      </c>
      <c r="B886">
        <v>80986.100000000006</v>
      </c>
      <c r="C886">
        <v>64124.79</v>
      </c>
      <c r="D886" s="1">
        <v>43508</v>
      </c>
      <c r="E886" t="s">
        <v>23</v>
      </c>
      <c r="F886" t="s">
        <v>92</v>
      </c>
      <c r="G886" t="s">
        <v>57</v>
      </c>
      <c r="H886" t="s">
        <v>58</v>
      </c>
      <c r="I886" t="s">
        <v>32</v>
      </c>
      <c r="J886" t="s">
        <v>1045</v>
      </c>
      <c r="K886">
        <v>16861.310000000001</v>
      </c>
      <c r="L886">
        <v>0.20820004914423601</v>
      </c>
      <c r="M886">
        <v>2019</v>
      </c>
      <c r="N886" t="s">
        <v>1181</v>
      </c>
      <c r="O886">
        <v>2</v>
      </c>
      <c r="P886" t="s">
        <v>1217</v>
      </c>
    </row>
    <row r="887" spans="1:16" x14ac:dyDescent="0.3">
      <c r="A887" t="s">
        <v>143</v>
      </c>
      <c r="B887">
        <v>61325.25</v>
      </c>
      <c r="C887">
        <v>49379.09</v>
      </c>
      <c r="D887" s="1">
        <v>44041</v>
      </c>
      <c r="E887" t="s">
        <v>76</v>
      </c>
      <c r="F887" t="s">
        <v>106</v>
      </c>
      <c r="G887" t="s">
        <v>145</v>
      </c>
      <c r="H887" t="s">
        <v>262</v>
      </c>
      <c r="I887" t="s">
        <v>15</v>
      </c>
      <c r="J887" t="s">
        <v>1046</v>
      </c>
      <c r="K887">
        <v>11946.16</v>
      </c>
      <c r="L887">
        <v>0.194800021198446</v>
      </c>
      <c r="M887">
        <v>2020</v>
      </c>
      <c r="N887" t="s">
        <v>1174</v>
      </c>
      <c r="O887">
        <v>7</v>
      </c>
      <c r="P887" t="s">
        <v>1214</v>
      </c>
    </row>
    <row r="888" spans="1:16" x14ac:dyDescent="0.3">
      <c r="A888" t="s">
        <v>22</v>
      </c>
      <c r="B888">
        <v>95387.89</v>
      </c>
      <c r="C888">
        <v>76195.850000000006</v>
      </c>
      <c r="D888" s="1">
        <v>44048</v>
      </c>
      <c r="E888" t="s">
        <v>91</v>
      </c>
      <c r="F888" t="s">
        <v>335</v>
      </c>
      <c r="G888" t="s">
        <v>25</v>
      </c>
      <c r="H888" t="s">
        <v>52</v>
      </c>
      <c r="I888" t="s">
        <v>27</v>
      </c>
      <c r="J888" t="s">
        <v>1047</v>
      </c>
      <c r="K888">
        <v>19192.04</v>
      </c>
      <c r="L888">
        <v>0.20119996364318399</v>
      </c>
      <c r="M888">
        <v>2020</v>
      </c>
      <c r="N888" t="s">
        <v>1171</v>
      </c>
      <c r="O888">
        <v>8</v>
      </c>
      <c r="P888" t="s">
        <v>1214</v>
      </c>
    </row>
    <row r="889" spans="1:16" x14ac:dyDescent="0.3">
      <c r="A889" t="s">
        <v>22</v>
      </c>
      <c r="B889">
        <v>284298.56</v>
      </c>
      <c r="C889">
        <v>229656.38</v>
      </c>
      <c r="D889" s="1">
        <v>43897</v>
      </c>
      <c r="E889" t="s">
        <v>40</v>
      </c>
      <c r="F889" t="s">
        <v>292</v>
      </c>
      <c r="G889" t="s">
        <v>25</v>
      </c>
      <c r="H889" t="s">
        <v>26</v>
      </c>
      <c r="I889" t="s">
        <v>27</v>
      </c>
      <c r="J889" t="s">
        <v>1048</v>
      </c>
      <c r="K889">
        <v>54642.18</v>
      </c>
      <c r="L889">
        <v>0.19219998863166901</v>
      </c>
      <c r="M889">
        <v>2020</v>
      </c>
      <c r="N889" t="s">
        <v>1176</v>
      </c>
      <c r="O889">
        <v>3</v>
      </c>
      <c r="P889" t="s">
        <v>1215</v>
      </c>
    </row>
    <row r="890" spans="1:16" x14ac:dyDescent="0.3">
      <c r="A890" t="s">
        <v>216</v>
      </c>
      <c r="B890">
        <v>118026.37</v>
      </c>
      <c r="C890">
        <v>99873.91</v>
      </c>
      <c r="D890" s="1">
        <v>43928</v>
      </c>
      <c r="E890" t="s">
        <v>23</v>
      </c>
      <c r="F890" t="s">
        <v>106</v>
      </c>
      <c r="G890" t="s">
        <v>217</v>
      </c>
      <c r="H890" t="s">
        <v>218</v>
      </c>
      <c r="I890" t="s">
        <v>27</v>
      </c>
      <c r="J890" t="s">
        <v>1049</v>
      </c>
      <c r="K890">
        <v>18152.46</v>
      </c>
      <c r="L890">
        <v>0.15380003638170001</v>
      </c>
      <c r="M890">
        <v>2020</v>
      </c>
      <c r="N890" t="s">
        <v>1172</v>
      </c>
      <c r="O890">
        <v>4</v>
      </c>
      <c r="P890" t="s">
        <v>1215</v>
      </c>
    </row>
    <row r="891" spans="1:16" x14ac:dyDescent="0.3">
      <c r="A891" t="s">
        <v>17</v>
      </c>
      <c r="B891">
        <v>105464.41</v>
      </c>
      <c r="C891">
        <v>84761.75</v>
      </c>
      <c r="D891" s="1">
        <v>43704</v>
      </c>
      <c r="E891" t="s">
        <v>91</v>
      </c>
      <c r="F891" t="s">
        <v>308</v>
      </c>
      <c r="G891" t="s">
        <v>19</v>
      </c>
      <c r="H891" t="s">
        <v>49</v>
      </c>
      <c r="I891" t="s">
        <v>27</v>
      </c>
      <c r="J891" t="s">
        <v>1050</v>
      </c>
      <c r="K891">
        <v>20702.66</v>
      </c>
      <c r="L891">
        <v>0.196299965078267</v>
      </c>
      <c r="M891">
        <v>2019</v>
      </c>
      <c r="N891" t="s">
        <v>1171</v>
      </c>
      <c r="O891">
        <v>8</v>
      </c>
      <c r="P891" t="s">
        <v>1214</v>
      </c>
    </row>
    <row r="892" spans="1:16" x14ac:dyDescent="0.3">
      <c r="A892" t="s">
        <v>22</v>
      </c>
      <c r="B892">
        <v>123891.6</v>
      </c>
      <c r="C892">
        <v>104118.5</v>
      </c>
      <c r="D892" s="1">
        <v>43669</v>
      </c>
      <c r="E892" t="s">
        <v>11</v>
      </c>
      <c r="F892" t="s">
        <v>24</v>
      </c>
      <c r="G892" t="s">
        <v>25</v>
      </c>
      <c r="H892" t="s">
        <v>167</v>
      </c>
      <c r="I892" t="s">
        <v>27</v>
      </c>
      <c r="J892" t="s">
        <v>1051</v>
      </c>
      <c r="K892">
        <v>19773.099999999999</v>
      </c>
      <c r="L892">
        <v>0.159600005165806</v>
      </c>
      <c r="M892">
        <v>2019</v>
      </c>
      <c r="N892" t="s">
        <v>1174</v>
      </c>
      <c r="O892">
        <v>7</v>
      </c>
      <c r="P892" t="s">
        <v>1214</v>
      </c>
    </row>
    <row r="893" spans="1:16" x14ac:dyDescent="0.3">
      <c r="A893" t="s">
        <v>151</v>
      </c>
      <c r="B893">
        <v>79375.17</v>
      </c>
      <c r="C893">
        <v>64532.01</v>
      </c>
      <c r="D893" s="1">
        <v>44076</v>
      </c>
      <c r="E893" t="s">
        <v>76</v>
      </c>
      <c r="F893" t="s">
        <v>106</v>
      </c>
      <c r="G893" t="s">
        <v>152</v>
      </c>
      <c r="H893" t="s">
        <v>197</v>
      </c>
      <c r="I893" t="s">
        <v>32</v>
      </c>
      <c r="J893" t="s">
        <v>1052</v>
      </c>
      <c r="K893">
        <v>14843.16</v>
      </c>
      <c r="L893">
        <v>0.187000040440858</v>
      </c>
      <c r="M893">
        <v>2020</v>
      </c>
      <c r="N893" t="s">
        <v>1175</v>
      </c>
      <c r="O893">
        <v>9</v>
      </c>
      <c r="P893" t="s">
        <v>1216</v>
      </c>
    </row>
    <row r="894" spans="1:16" x14ac:dyDescent="0.3">
      <c r="A894" t="s">
        <v>122</v>
      </c>
      <c r="B894">
        <v>128235.65</v>
      </c>
      <c r="C894">
        <v>103024.52</v>
      </c>
      <c r="D894" s="1">
        <v>44094</v>
      </c>
      <c r="E894" t="s">
        <v>91</v>
      </c>
      <c r="F894" t="s">
        <v>92</v>
      </c>
      <c r="G894" t="s">
        <v>123</v>
      </c>
      <c r="H894" t="s">
        <v>254</v>
      </c>
      <c r="I894" t="s">
        <v>27</v>
      </c>
      <c r="J894" t="s">
        <v>1053</v>
      </c>
      <c r="K894">
        <v>25211.13</v>
      </c>
      <c r="L894">
        <v>0.19660000943575401</v>
      </c>
      <c r="M894">
        <v>2020</v>
      </c>
      <c r="N894" t="s">
        <v>1175</v>
      </c>
      <c r="O894">
        <v>9</v>
      </c>
      <c r="P894" t="s">
        <v>1216</v>
      </c>
    </row>
    <row r="895" spans="1:16" x14ac:dyDescent="0.3">
      <c r="A895" t="s">
        <v>10</v>
      </c>
      <c r="B895">
        <v>121292.94</v>
      </c>
      <c r="C895">
        <v>104384.7</v>
      </c>
      <c r="D895" s="1">
        <v>43547</v>
      </c>
      <c r="E895" t="s">
        <v>76</v>
      </c>
      <c r="F895" t="s">
        <v>35</v>
      </c>
      <c r="G895" t="s">
        <v>13</v>
      </c>
      <c r="H895" t="s">
        <v>14</v>
      </c>
      <c r="I895" t="s">
        <v>27</v>
      </c>
      <c r="J895" t="s">
        <v>1054</v>
      </c>
      <c r="K895">
        <v>16908.240000000002</v>
      </c>
      <c r="L895">
        <v>0.13940003433011</v>
      </c>
      <c r="M895">
        <v>2019</v>
      </c>
      <c r="N895" t="s">
        <v>1176</v>
      </c>
      <c r="O895">
        <v>3</v>
      </c>
      <c r="P895" t="s">
        <v>1215</v>
      </c>
    </row>
    <row r="896" spans="1:16" x14ac:dyDescent="0.3">
      <c r="A896" t="s">
        <v>17</v>
      </c>
      <c r="B896">
        <v>254021.98</v>
      </c>
      <c r="C896">
        <v>205605.39</v>
      </c>
      <c r="D896" s="1">
        <v>43531</v>
      </c>
      <c r="E896" t="s">
        <v>40</v>
      </c>
      <c r="F896" t="s">
        <v>211</v>
      </c>
      <c r="G896" t="s">
        <v>19</v>
      </c>
      <c r="H896" t="s">
        <v>78</v>
      </c>
      <c r="I896" t="s">
        <v>27</v>
      </c>
      <c r="J896" t="s">
        <v>1055</v>
      </c>
      <c r="K896">
        <v>48416.59</v>
      </c>
      <c r="L896">
        <v>0.19060000240923999</v>
      </c>
      <c r="M896">
        <v>2019</v>
      </c>
      <c r="N896" t="s">
        <v>1176</v>
      </c>
      <c r="O896">
        <v>3</v>
      </c>
      <c r="P896" t="s">
        <v>1215</v>
      </c>
    </row>
    <row r="897" spans="1:16" x14ac:dyDescent="0.3">
      <c r="A897" t="s">
        <v>17</v>
      </c>
      <c r="B897">
        <v>154950.74</v>
      </c>
      <c r="C897">
        <v>133195.66</v>
      </c>
      <c r="D897" s="1">
        <v>43718</v>
      </c>
      <c r="E897" t="s">
        <v>51</v>
      </c>
      <c r="F897" t="s">
        <v>80</v>
      </c>
      <c r="G897" t="s">
        <v>19</v>
      </c>
      <c r="H897" t="s">
        <v>31</v>
      </c>
      <c r="I897" t="s">
        <v>15</v>
      </c>
      <c r="J897" t="s">
        <v>1056</v>
      </c>
      <c r="K897">
        <v>21755.08</v>
      </c>
      <c r="L897">
        <v>0.140399974856525</v>
      </c>
      <c r="M897">
        <v>2019</v>
      </c>
      <c r="N897" t="s">
        <v>1175</v>
      </c>
      <c r="O897">
        <v>9</v>
      </c>
      <c r="P897" t="s">
        <v>1216</v>
      </c>
    </row>
    <row r="898" spans="1:16" x14ac:dyDescent="0.3">
      <c r="A898" t="s">
        <v>22</v>
      </c>
      <c r="B898">
        <v>165305.70000000001</v>
      </c>
      <c r="C898">
        <v>134757.21</v>
      </c>
      <c r="D898" s="1">
        <v>43659</v>
      </c>
      <c r="E898" t="s">
        <v>11</v>
      </c>
      <c r="F898" t="s">
        <v>222</v>
      </c>
      <c r="G898" t="s">
        <v>25</v>
      </c>
      <c r="H898" t="s">
        <v>52</v>
      </c>
      <c r="I898" t="s">
        <v>27</v>
      </c>
      <c r="J898" t="s">
        <v>1057</v>
      </c>
      <c r="K898">
        <v>30548.49</v>
      </c>
      <c r="L898">
        <v>0.18479997967402201</v>
      </c>
      <c r="M898">
        <v>2019</v>
      </c>
      <c r="N898" t="s">
        <v>1174</v>
      </c>
      <c r="O898">
        <v>7</v>
      </c>
      <c r="P898" t="s">
        <v>1214</v>
      </c>
    </row>
    <row r="899" spans="1:16" x14ac:dyDescent="0.3">
      <c r="A899" t="s">
        <v>17</v>
      </c>
      <c r="B899">
        <v>49374.25</v>
      </c>
      <c r="C899">
        <v>39208.089999999997</v>
      </c>
      <c r="D899" s="1">
        <v>43606</v>
      </c>
      <c r="E899" t="s">
        <v>91</v>
      </c>
      <c r="F899" t="s">
        <v>292</v>
      </c>
      <c r="G899" t="s">
        <v>19</v>
      </c>
      <c r="H899" t="s">
        <v>157</v>
      </c>
      <c r="I899" t="s">
        <v>27</v>
      </c>
      <c r="J899" t="s">
        <v>1058</v>
      </c>
      <c r="K899">
        <v>10166.16</v>
      </c>
      <c r="L899">
        <v>0.20590003898793399</v>
      </c>
      <c r="M899">
        <v>2019</v>
      </c>
      <c r="N899" t="s">
        <v>1173</v>
      </c>
      <c r="O899">
        <v>5</v>
      </c>
      <c r="P899" t="s">
        <v>1215</v>
      </c>
    </row>
    <row r="900" spans="1:16" x14ac:dyDescent="0.3">
      <c r="A900" t="s">
        <v>10</v>
      </c>
      <c r="B900">
        <v>169810.63</v>
      </c>
      <c r="C900">
        <v>145952.24</v>
      </c>
      <c r="D900" s="1">
        <v>44163</v>
      </c>
      <c r="E900" t="s">
        <v>51</v>
      </c>
      <c r="F900" t="s">
        <v>156</v>
      </c>
      <c r="G900" t="s">
        <v>13</v>
      </c>
      <c r="H900" t="s">
        <v>110</v>
      </c>
      <c r="I900" t="s">
        <v>27</v>
      </c>
      <c r="J900" t="s">
        <v>1059</v>
      </c>
      <c r="K900">
        <v>23858.39</v>
      </c>
      <c r="L900">
        <v>0.14049997930047101</v>
      </c>
      <c r="M900">
        <v>2020</v>
      </c>
      <c r="N900" t="s">
        <v>1180</v>
      </c>
      <c r="O900">
        <v>11</v>
      </c>
      <c r="P900" t="s">
        <v>1216</v>
      </c>
    </row>
    <row r="901" spans="1:16" x14ac:dyDescent="0.3">
      <c r="A901" t="s">
        <v>34</v>
      </c>
      <c r="B901">
        <v>47082.67</v>
      </c>
      <c r="C901">
        <v>37882.720000000001</v>
      </c>
      <c r="D901" s="1">
        <v>44012</v>
      </c>
      <c r="E901" t="s">
        <v>11</v>
      </c>
      <c r="F901" t="s">
        <v>156</v>
      </c>
      <c r="G901" t="s">
        <v>36</v>
      </c>
      <c r="H901" t="s">
        <v>104</v>
      </c>
      <c r="I901" t="s">
        <v>27</v>
      </c>
      <c r="J901" t="s">
        <v>1060</v>
      </c>
      <c r="K901">
        <v>9199.9500000000007</v>
      </c>
      <c r="L901">
        <v>0.19539992103251599</v>
      </c>
      <c r="M901">
        <v>2020</v>
      </c>
      <c r="N901" t="s">
        <v>1179</v>
      </c>
      <c r="O901">
        <v>6</v>
      </c>
      <c r="P901" t="s">
        <v>1214</v>
      </c>
    </row>
    <row r="902" spans="1:16" x14ac:dyDescent="0.3">
      <c r="A902" t="s">
        <v>22</v>
      </c>
      <c r="B902">
        <v>81458.94</v>
      </c>
      <c r="C902">
        <v>64434.02</v>
      </c>
      <c r="D902" s="1">
        <v>43783</v>
      </c>
      <c r="E902" t="s">
        <v>91</v>
      </c>
      <c r="F902" t="s">
        <v>56</v>
      </c>
      <c r="G902" t="s">
        <v>25</v>
      </c>
      <c r="H902" t="s">
        <v>52</v>
      </c>
      <c r="I902" t="s">
        <v>27</v>
      </c>
      <c r="J902" t="s">
        <v>1061</v>
      </c>
      <c r="K902">
        <v>17024.919999999998</v>
      </c>
      <c r="L902">
        <v>0.20900001890523001</v>
      </c>
      <c r="M902">
        <v>2019</v>
      </c>
      <c r="N902" t="s">
        <v>1180</v>
      </c>
      <c r="O902">
        <v>11</v>
      </c>
      <c r="P902" t="s">
        <v>1216</v>
      </c>
    </row>
    <row r="903" spans="1:16" x14ac:dyDescent="0.3">
      <c r="A903" t="s">
        <v>34</v>
      </c>
      <c r="B903">
        <v>128112.26</v>
      </c>
      <c r="C903">
        <v>104975.19</v>
      </c>
      <c r="D903" s="1">
        <v>44086</v>
      </c>
      <c r="E903" t="s">
        <v>91</v>
      </c>
      <c r="F903" t="s">
        <v>106</v>
      </c>
      <c r="G903" t="s">
        <v>36</v>
      </c>
      <c r="H903" t="s">
        <v>93</v>
      </c>
      <c r="I903" t="s">
        <v>27</v>
      </c>
      <c r="J903" t="s">
        <v>1062</v>
      </c>
      <c r="K903">
        <v>23137.07</v>
      </c>
      <c r="L903">
        <v>0.18059996755970101</v>
      </c>
      <c r="M903">
        <v>2020</v>
      </c>
      <c r="N903" t="s">
        <v>1175</v>
      </c>
      <c r="O903">
        <v>9</v>
      </c>
      <c r="P903" t="s">
        <v>1216</v>
      </c>
    </row>
    <row r="904" spans="1:16" x14ac:dyDescent="0.3">
      <c r="A904" t="s">
        <v>10</v>
      </c>
      <c r="B904">
        <v>30975.79</v>
      </c>
      <c r="C904">
        <v>27072.84</v>
      </c>
      <c r="D904" s="1">
        <v>43905</v>
      </c>
      <c r="E904" t="s">
        <v>40</v>
      </c>
      <c r="F904" t="s">
        <v>139</v>
      </c>
      <c r="G904" t="s">
        <v>13</v>
      </c>
      <c r="H904" t="s">
        <v>14</v>
      </c>
      <c r="I904" t="s">
        <v>27</v>
      </c>
      <c r="J904" t="s">
        <v>1063</v>
      </c>
      <c r="K904">
        <v>3902.95</v>
      </c>
      <c r="L904">
        <v>0.12600001485030701</v>
      </c>
      <c r="M904">
        <v>2020</v>
      </c>
      <c r="N904" t="s">
        <v>1176</v>
      </c>
      <c r="O904">
        <v>3</v>
      </c>
      <c r="P904" t="s">
        <v>1215</v>
      </c>
    </row>
    <row r="905" spans="1:16" x14ac:dyDescent="0.3">
      <c r="A905" t="s">
        <v>22</v>
      </c>
      <c r="B905">
        <v>45256.74</v>
      </c>
      <c r="C905">
        <v>38975.1</v>
      </c>
      <c r="D905" s="1">
        <v>43479</v>
      </c>
      <c r="E905" t="s">
        <v>99</v>
      </c>
      <c r="F905" t="s">
        <v>102</v>
      </c>
      <c r="G905" t="s">
        <v>25</v>
      </c>
      <c r="H905" t="s">
        <v>167</v>
      </c>
      <c r="I905" t="s">
        <v>27</v>
      </c>
      <c r="J905" t="s">
        <v>1064</v>
      </c>
      <c r="K905">
        <v>6281.64</v>
      </c>
      <c r="L905">
        <v>0.13880009916754901</v>
      </c>
      <c r="M905">
        <v>2019</v>
      </c>
      <c r="N905" t="s">
        <v>1177</v>
      </c>
      <c r="O905">
        <v>1</v>
      </c>
      <c r="P905" t="s">
        <v>1217</v>
      </c>
    </row>
    <row r="906" spans="1:16" x14ac:dyDescent="0.3">
      <c r="A906" t="s">
        <v>17</v>
      </c>
      <c r="B906">
        <v>72749.070000000007</v>
      </c>
      <c r="C906">
        <v>59108.62</v>
      </c>
      <c r="D906" s="1">
        <v>43485</v>
      </c>
      <c r="E906" t="s">
        <v>51</v>
      </c>
      <c r="F906" t="s">
        <v>56</v>
      </c>
      <c r="G906" t="s">
        <v>19</v>
      </c>
      <c r="H906" t="s">
        <v>20</v>
      </c>
      <c r="I906" t="s">
        <v>27</v>
      </c>
      <c r="J906" t="s">
        <v>1065</v>
      </c>
      <c r="K906">
        <v>13640.45</v>
      </c>
      <c r="L906">
        <v>0.18749999140882501</v>
      </c>
      <c r="M906">
        <v>2019</v>
      </c>
      <c r="N906" t="s">
        <v>1177</v>
      </c>
      <c r="O906">
        <v>1</v>
      </c>
      <c r="P906" t="s">
        <v>1217</v>
      </c>
    </row>
    <row r="907" spans="1:16" x14ac:dyDescent="0.3">
      <c r="A907" t="s">
        <v>34</v>
      </c>
      <c r="B907">
        <v>150313.19</v>
      </c>
      <c r="C907">
        <v>118927.8</v>
      </c>
      <c r="D907" s="1">
        <v>43853</v>
      </c>
      <c r="E907" t="s">
        <v>76</v>
      </c>
      <c r="F907" t="s">
        <v>56</v>
      </c>
      <c r="G907" t="s">
        <v>36</v>
      </c>
      <c r="H907" t="s">
        <v>93</v>
      </c>
      <c r="I907" t="s">
        <v>27</v>
      </c>
      <c r="J907" t="s">
        <v>1066</v>
      </c>
      <c r="K907">
        <v>31385.39</v>
      </c>
      <c r="L907">
        <v>0.20879997290989599</v>
      </c>
      <c r="M907">
        <v>2020</v>
      </c>
      <c r="N907" t="s">
        <v>1177</v>
      </c>
      <c r="O907">
        <v>1</v>
      </c>
      <c r="P907" t="s">
        <v>1217</v>
      </c>
    </row>
    <row r="908" spans="1:16" x14ac:dyDescent="0.3">
      <c r="A908" t="s">
        <v>10</v>
      </c>
      <c r="B908">
        <v>36785.279999999999</v>
      </c>
      <c r="C908">
        <v>30546.5</v>
      </c>
      <c r="D908" s="1">
        <v>43708</v>
      </c>
      <c r="E908" t="s">
        <v>23</v>
      </c>
      <c r="F908" t="s">
        <v>56</v>
      </c>
      <c r="G908" t="s">
        <v>13</v>
      </c>
      <c r="H908" t="s">
        <v>81</v>
      </c>
      <c r="I908" t="s">
        <v>27</v>
      </c>
      <c r="J908" t="s">
        <v>1067</v>
      </c>
      <c r="K908">
        <v>6238.78</v>
      </c>
      <c r="L908">
        <v>0.169599905179463</v>
      </c>
      <c r="M908">
        <v>2019</v>
      </c>
      <c r="N908" t="s">
        <v>1171</v>
      </c>
      <c r="O908">
        <v>8</v>
      </c>
      <c r="P908" t="s">
        <v>1214</v>
      </c>
    </row>
    <row r="909" spans="1:16" x14ac:dyDescent="0.3">
      <c r="A909" t="s">
        <v>17</v>
      </c>
      <c r="B909">
        <v>35214.85</v>
      </c>
      <c r="C909">
        <v>27985.24</v>
      </c>
      <c r="D909" s="1">
        <v>43537</v>
      </c>
      <c r="E909" t="s">
        <v>29</v>
      </c>
      <c r="F909" t="s">
        <v>83</v>
      </c>
      <c r="G909" t="s">
        <v>19</v>
      </c>
      <c r="H909" t="s">
        <v>157</v>
      </c>
      <c r="I909" t="s">
        <v>27</v>
      </c>
      <c r="J909" t="s">
        <v>1068</v>
      </c>
      <c r="K909">
        <v>7229.61</v>
      </c>
      <c r="L909">
        <v>0.20530003677425901</v>
      </c>
      <c r="M909">
        <v>2019</v>
      </c>
      <c r="N909" t="s">
        <v>1176</v>
      </c>
      <c r="O909">
        <v>3</v>
      </c>
      <c r="P909" t="s">
        <v>1215</v>
      </c>
    </row>
    <row r="910" spans="1:16" x14ac:dyDescent="0.3">
      <c r="A910" t="s">
        <v>143</v>
      </c>
      <c r="B910">
        <v>90926.92</v>
      </c>
      <c r="C910">
        <v>73050.69</v>
      </c>
      <c r="D910" s="1">
        <v>43914</v>
      </c>
      <c r="E910" t="s">
        <v>51</v>
      </c>
      <c r="F910" t="s">
        <v>227</v>
      </c>
      <c r="G910" t="s">
        <v>145</v>
      </c>
      <c r="H910" t="s">
        <v>146</v>
      </c>
      <c r="I910" t="s">
        <v>27</v>
      </c>
      <c r="J910" t="s">
        <v>1069</v>
      </c>
      <c r="K910">
        <v>17876.23</v>
      </c>
      <c r="L910">
        <v>0.196599972813332</v>
      </c>
      <c r="M910">
        <v>2020</v>
      </c>
      <c r="N910" t="s">
        <v>1176</v>
      </c>
      <c r="O910">
        <v>3</v>
      </c>
      <c r="P910" t="s">
        <v>1215</v>
      </c>
    </row>
    <row r="911" spans="1:16" x14ac:dyDescent="0.3">
      <c r="A911" t="s">
        <v>22</v>
      </c>
      <c r="B911">
        <v>37521.39</v>
      </c>
      <c r="C911">
        <v>29701.93</v>
      </c>
      <c r="D911" s="1">
        <v>43848</v>
      </c>
      <c r="E911" t="s">
        <v>76</v>
      </c>
      <c r="F911" t="s">
        <v>74</v>
      </c>
      <c r="G911" t="s">
        <v>25</v>
      </c>
      <c r="H911" t="s">
        <v>63</v>
      </c>
      <c r="I911" t="s">
        <v>27</v>
      </c>
      <c r="J911" t="s">
        <v>1070</v>
      </c>
      <c r="K911">
        <v>7819.46</v>
      </c>
      <c r="L911">
        <v>0.20840006193800401</v>
      </c>
      <c r="M911">
        <v>2020</v>
      </c>
      <c r="N911" t="s">
        <v>1177</v>
      </c>
      <c r="O911">
        <v>1</v>
      </c>
      <c r="P911" t="s">
        <v>1217</v>
      </c>
    </row>
    <row r="912" spans="1:16" x14ac:dyDescent="0.3">
      <c r="A912" t="s">
        <v>17</v>
      </c>
      <c r="B912">
        <v>68173.22</v>
      </c>
      <c r="C912">
        <v>54040.91</v>
      </c>
      <c r="D912" s="1">
        <v>44149</v>
      </c>
      <c r="E912" t="s">
        <v>51</v>
      </c>
      <c r="F912" t="s">
        <v>244</v>
      </c>
      <c r="G912" t="s">
        <v>19</v>
      </c>
      <c r="H912" t="s">
        <v>20</v>
      </c>
      <c r="I912" t="s">
        <v>27</v>
      </c>
      <c r="J912" t="s">
        <v>1071</v>
      </c>
      <c r="K912">
        <v>14132.31</v>
      </c>
      <c r="L912">
        <v>0.20730002191476399</v>
      </c>
      <c r="M912">
        <v>2020</v>
      </c>
      <c r="N912" t="s">
        <v>1180</v>
      </c>
      <c r="O912">
        <v>11</v>
      </c>
      <c r="P912" t="s">
        <v>1216</v>
      </c>
    </row>
    <row r="913" spans="1:16" x14ac:dyDescent="0.3">
      <c r="A913" t="s">
        <v>10</v>
      </c>
      <c r="B913">
        <v>88832.28</v>
      </c>
      <c r="C913">
        <v>71501.100000000006</v>
      </c>
      <c r="D913" s="1">
        <v>43822</v>
      </c>
      <c r="E913" t="s">
        <v>29</v>
      </c>
      <c r="F913" t="s">
        <v>300</v>
      </c>
      <c r="G913" t="s">
        <v>13</v>
      </c>
      <c r="H913" t="s">
        <v>14</v>
      </c>
      <c r="I913" t="s">
        <v>27</v>
      </c>
      <c r="J913" t="s">
        <v>1072</v>
      </c>
      <c r="K913">
        <v>17331.18</v>
      </c>
      <c r="L913">
        <v>0.19510002445057101</v>
      </c>
      <c r="M913">
        <v>2019</v>
      </c>
      <c r="N913" t="s">
        <v>1182</v>
      </c>
      <c r="O913">
        <v>12</v>
      </c>
      <c r="P913" t="s">
        <v>1217</v>
      </c>
    </row>
    <row r="914" spans="1:16" x14ac:dyDescent="0.3">
      <c r="A914" t="s">
        <v>10</v>
      </c>
      <c r="B914">
        <v>159793.46</v>
      </c>
      <c r="C914">
        <v>139180.1</v>
      </c>
      <c r="D914" s="1">
        <v>43631</v>
      </c>
      <c r="E914" t="s">
        <v>51</v>
      </c>
      <c r="F914" t="s">
        <v>135</v>
      </c>
      <c r="G914" t="s">
        <v>13</v>
      </c>
      <c r="H914" t="s">
        <v>46</v>
      </c>
      <c r="I914" t="s">
        <v>15</v>
      </c>
      <c r="J914" t="s">
        <v>1073</v>
      </c>
      <c r="K914">
        <v>20613.36</v>
      </c>
      <c r="L914">
        <v>0.129000022904567</v>
      </c>
      <c r="M914">
        <v>2019</v>
      </c>
      <c r="N914" t="s">
        <v>1179</v>
      </c>
      <c r="O914">
        <v>6</v>
      </c>
      <c r="P914" t="s">
        <v>1214</v>
      </c>
    </row>
    <row r="915" spans="1:16" x14ac:dyDescent="0.3">
      <c r="A915" t="s">
        <v>22</v>
      </c>
      <c r="B915">
        <v>177208.76</v>
      </c>
      <c r="C915">
        <v>151779.29999999999</v>
      </c>
      <c r="D915" s="1">
        <v>43497</v>
      </c>
      <c r="E915" t="s">
        <v>23</v>
      </c>
      <c r="F915" t="s">
        <v>45</v>
      </c>
      <c r="G915" t="s">
        <v>25</v>
      </c>
      <c r="H915" t="s">
        <v>167</v>
      </c>
      <c r="I915" t="s">
        <v>32</v>
      </c>
      <c r="J915" t="s">
        <v>1074</v>
      </c>
      <c r="K915">
        <v>25429.46</v>
      </c>
      <c r="L915">
        <v>0.14350001659060199</v>
      </c>
      <c r="M915">
        <v>2019</v>
      </c>
      <c r="N915" t="s">
        <v>1181</v>
      </c>
      <c r="O915">
        <v>2</v>
      </c>
      <c r="P915" t="s">
        <v>1217</v>
      </c>
    </row>
    <row r="916" spans="1:16" x14ac:dyDescent="0.3">
      <c r="A916" t="s">
        <v>17</v>
      </c>
      <c r="B916">
        <v>224626.25</v>
      </c>
      <c r="C916">
        <v>189988.88</v>
      </c>
      <c r="D916" s="1">
        <v>44033</v>
      </c>
      <c r="E916" t="s">
        <v>29</v>
      </c>
      <c r="F916" t="s">
        <v>222</v>
      </c>
      <c r="G916" t="s">
        <v>19</v>
      </c>
      <c r="H916" t="s">
        <v>157</v>
      </c>
      <c r="I916" t="s">
        <v>27</v>
      </c>
      <c r="J916" t="s">
        <v>1075</v>
      </c>
      <c r="K916">
        <v>34637.370000000003</v>
      </c>
      <c r="L916">
        <v>0.15420001001663899</v>
      </c>
      <c r="M916">
        <v>2020</v>
      </c>
      <c r="N916" t="s">
        <v>1174</v>
      </c>
      <c r="O916">
        <v>7</v>
      </c>
      <c r="P916" t="s">
        <v>1214</v>
      </c>
    </row>
    <row r="917" spans="1:16" x14ac:dyDescent="0.3">
      <c r="A917" t="s">
        <v>17</v>
      </c>
      <c r="B917">
        <v>89369</v>
      </c>
      <c r="C917">
        <v>72889.36</v>
      </c>
      <c r="D917" s="1">
        <v>43862</v>
      </c>
      <c r="E917" t="s">
        <v>51</v>
      </c>
      <c r="F917" t="s">
        <v>135</v>
      </c>
      <c r="G917" t="s">
        <v>19</v>
      </c>
      <c r="H917" t="s">
        <v>157</v>
      </c>
      <c r="I917" t="s">
        <v>27</v>
      </c>
      <c r="J917" t="s">
        <v>1076</v>
      </c>
      <c r="K917">
        <v>16479.64</v>
      </c>
      <c r="L917">
        <v>0.184399959717575</v>
      </c>
      <c r="M917">
        <v>2020</v>
      </c>
      <c r="N917" t="s">
        <v>1181</v>
      </c>
      <c r="O917">
        <v>2</v>
      </c>
      <c r="P917" t="s">
        <v>1217</v>
      </c>
    </row>
    <row r="918" spans="1:16" x14ac:dyDescent="0.3">
      <c r="A918" t="s">
        <v>17</v>
      </c>
      <c r="B918">
        <v>65254.5</v>
      </c>
      <c r="C918">
        <v>53919.79</v>
      </c>
      <c r="D918" s="1">
        <v>43633</v>
      </c>
      <c r="E918" t="s">
        <v>11</v>
      </c>
      <c r="F918" t="s">
        <v>149</v>
      </c>
      <c r="G918" t="s">
        <v>19</v>
      </c>
      <c r="H918" t="s">
        <v>78</v>
      </c>
      <c r="I918" t="s">
        <v>27</v>
      </c>
      <c r="J918" t="s">
        <v>1077</v>
      </c>
      <c r="K918">
        <v>11334.71</v>
      </c>
      <c r="L918">
        <v>0.173700051337456</v>
      </c>
      <c r="M918">
        <v>2019</v>
      </c>
      <c r="N918" t="s">
        <v>1179</v>
      </c>
      <c r="O918">
        <v>6</v>
      </c>
      <c r="P918" t="s">
        <v>1214</v>
      </c>
    </row>
    <row r="919" spans="1:16" x14ac:dyDescent="0.3">
      <c r="A919" t="s">
        <v>129</v>
      </c>
      <c r="B919">
        <v>62011.86</v>
      </c>
      <c r="C919">
        <v>49324.23</v>
      </c>
      <c r="D919" s="1">
        <v>43482</v>
      </c>
      <c r="E919" t="s">
        <v>76</v>
      </c>
      <c r="F919" t="s">
        <v>56</v>
      </c>
      <c r="G919" t="s">
        <v>130</v>
      </c>
      <c r="H919" t="s">
        <v>131</v>
      </c>
      <c r="I919" t="s">
        <v>15</v>
      </c>
      <c r="J919" t="s">
        <v>1078</v>
      </c>
      <c r="K919">
        <v>12687.63</v>
      </c>
      <c r="L919">
        <v>0.204600055537763</v>
      </c>
      <c r="M919">
        <v>2019</v>
      </c>
      <c r="N919" t="s">
        <v>1177</v>
      </c>
      <c r="O919">
        <v>1</v>
      </c>
      <c r="P919" t="s">
        <v>1217</v>
      </c>
    </row>
    <row r="920" spans="1:16" x14ac:dyDescent="0.3">
      <c r="A920" t="s">
        <v>10</v>
      </c>
      <c r="B920">
        <v>128208.95</v>
      </c>
      <c r="C920">
        <v>111746.92</v>
      </c>
      <c r="D920" s="1">
        <v>44043</v>
      </c>
      <c r="E920" t="s">
        <v>23</v>
      </c>
      <c r="F920" t="s">
        <v>174</v>
      </c>
      <c r="G920" t="s">
        <v>13</v>
      </c>
      <c r="H920" t="s">
        <v>46</v>
      </c>
      <c r="I920" t="s">
        <v>27</v>
      </c>
      <c r="J920" t="s">
        <v>1079</v>
      </c>
      <c r="K920">
        <v>16462.03</v>
      </c>
      <c r="L920">
        <v>0.12840000639580901</v>
      </c>
      <c r="M920">
        <v>2020</v>
      </c>
      <c r="N920" t="s">
        <v>1174</v>
      </c>
      <c r="O920">
        <v>7</v>
      </c>
      <c r="P920" t="s">
        <v>1214</v>
      </c>
    </row>
    <row r="921" spans="1:16" x14ac:dyDescent="0.3">
      <c r="A921" t="s">
        <v>22</v>
      </c>
      <c r="B921">
        <v>136915.60999999999</v>
      </c>
      <c r="C921">
        <v>114790.05</v>
      </c>
      <c r="D921" s="1">
        <v>43922</v>
      </c>
      <c r="E921" t="s">
        <v>181</v>
      </c>
      <c r="F921" t="s">
        <v>106</v>
      </c>
      <c r="G921" t="s">
        <v>25</v>
      </c>
      <c r="H921" t="s">
        <v>52</v>
      </c>
      <c r="I921" t="s">
        <v>15</v>
      </c>
      <c r="J921" t="s">
        <v>1080</v>
      </c>
      <c r="K921">
        <v>22125.56</v>
      </c>
      <c r="L921">
        <v>0.16159998118549099</v>
      </c>
      <c r="M921">
        <v>2020</v>
      </c>
      <c r="N921" t="s">
        <v>1172</v>
      </c>
      <c r="O921">
        <v>4</v>
      </c>
      <c r="P921" t="s">
        <v>1215</v>
      </c>
    </row>
    <row r="922" spans="1:16" x14ac:dyDescent="0.3">
      <c r="A922" t="s">
        <v>17</v>
      </c>
      <c r="B922">
        <v>159926.16</v>
      </c>
      <c r="C922">
        <v>126453.61</v>
      </c>
      <c r="D922" s="1">
        <v>44174</v>
      </c>
      <c r="E922" t="s">
        <v>76</v>
      </c>
      <c r="F922" t="s">
        <v>211</v>
      </c>
      <c r="G922" t="s">
        <v>19</v>
      </c>
      <c r="H922" t="s">
        <v>157</v>
      </c>
      <c r="I922" t="s">
        <v>32</v>
      </c>
      <c r="J922" t="s">
        <v>1081</v>
      </c>
      <c r="K922">
        <v>33472.550000000003</v>
      </c>
      <c r="L922">
        <v>0.20930002946359699</v>
      </c>
      <c r="M922">
        <v>2020</v>
      </c>
      <c r="N922" t="s">
        <v>1182</v>
      </c>
      <c r="O922">
        <v>12</v>
      </c>
      <c r="P922" t="s">
        <v>1217</v>
      </c>
    </row>
    <row r="923" spans="1:16" x14ac:dyDescent="0.3">
      <c r="A923" t="s">
        <v>34</v>
      </c>
      <c r="B923">
        <v>154715.49</v>
      </c>
      <c r="C923">
        <v>126572.74</v>
      </c>
      <c r="D923" s="1">
        <v>44127</v>
      </c>
      <c r="E923" t="s">
        <v>29</v>
      </c>
      <c r="F923" t="s">
        <v>195</v>
      </c>
      <c r="G923" t="s">
        <v>36</v>
      </c>
      <c r="H923" t="s">
        <v>37</v>
      </c>
      <c r="I923" t="s">
        <v>27</v>
      </c>
      <c r="J923" t="s">
        <v>1082</v>
      </c>
      <c r="K923">
        <v>28142.75</v>
      </c>
      <c r="L923">
        <v>0.181900015311977</v>
      </c>
      <c r="M923">
        <v>2020</v>
      </c>
      <c r="N923" t="s">
        <v>1178</v>
      </c>
      <c r="O923">
        <v>10</v>
      </c>
      <c r="P923" t="s">
        <v>1216</v>
      </c>
    </row>
    <row r="924" spans="1:16" x14ac:dyDescent="0.3">
      <c r="A924" t="s">
        <v>34</v>
      </c>
      <c r="B924">
        <v>81219.67</v>
      </c>
      <c r="C924">
        <v>70319.990000000005</v>
      </c>
      <c r="D924" s="1">
        <v>43971</v>
      </c>
      <c r="E924" t="s">
        <v>40</v>
      </c>
      <c r="F924" t="s">
        <v>106</v>
      </c>
      <c r="G924" t="s">
        <v>36</v>
      </c>
      <c r="H924" t="s">
        <v>37</v>
      </c>
      <c r="I924" t="s">
        <v>27</v>
      </c>
      <c r="J924" t="s">
        <v>1083</v>
      </c>
      <c r="K924">
        <v>10899.68</v>
      </c>
      <c r="L924">
        <v>0.134200003521314</v>
      </c>
      <c r="M924">
        <v>2020</v>
      </c>
      <c r="N924" t="s">
        <v>1173</v>
      </c>
      <c r="O924">
        <v>5</v>
      </c>
      <c r="P924" t="s">
        <v>1215</v>
      </c>
    </row>
    <row r="925" spans="1:16" x14ac:dyDescent="0.3">
      <c r="A925" t="s">
        <v>22</v>
      </c>
      <c r="B925">
        <v>251003.51</v>
      </c>
      <c r="C925">
        <v>214105.99</v>
      </c>
      <c r="D925" s="1">
        <v>43676</v>
      </c>
      <c r="E925" t="s">
        <v>40</v>
      </c>
      <c r="F925" t="s">
        <v>256</v>
      </c>
      <c r="G925" t="s">
        <v>25</v>
      </c>
      <c r="H925" t="s">
        <v>63</v>
      </c>
      <c r="I925" t="s">
        <v>27</v>
      </c>
      <c r="J925" t="s">
        <v>1084</v>
      </c>
      <c r="K925">
        <v>36897.519999999997</v>
      </c>
      <c r="L925">
        <v>0.14700001605555199</v>
      </c>
      <c r="M925">
        <v>2019</v>
      </c>
      <c r="N925" t="s">
        <v>1174</v>
      </c>
      <c r="O925">
        <v>7</v>
      </c>
      <c r="P925" t="s">
        <v>1214</v>
      </c>
    </row>
    <row r="926" spans="1:16" x14ac:dyDescent="0.3">
      <c r="A926" t="s">
        <v>54</v>
      </c>
      <c r="B926">
        <v>51407.3</v>
      </c>
      <c r="C926">
        <v>44292.53</v>
      </c>
      <c r="D926" s="1">
        <v>43501</v>
      </c>
      <c r="E926" t="s">
        <v>40</v>
      </c>
      <c r="F926" t="s">
        <v>97</v>
      </c>
      <c r="G926" t="s">
        <v>57</v>
      </c>
      <c r="H926" t="s">
        <v>58</v>
      </c>
      <c r="I926" t="s">
        <v>15</v>
      </c>
      <c r="J926" t="s">
        <v>1085</v>
      </c>
      <c r="K926">
        <v>7114.77</v>
      </c>
      <c r="L926">
        <v>0.13839999377520301</v>
      </c>
      <c r="M926">
        <v>2019</v>
      </c>
      <c r="N926" t="s">
        <v>1181</v>
      </c>
      <c r="O926">
        <v>2</v>
      </c>
      <c r="P926" t="s">
        <v>1217</v>
      </c>
    </row>
    <row r="927" spans="1:16" x14ac:dyDescent="0.3">
      <c r="A927" t="s">
        <v>10</v>
      </c>
      <c r="B927">
        <v>79407.28</v>
      </c>
      <c r="C927">
        <v>64383.42</v>
      </c>
      <c r="D927" s="1">
        <v>44033</v>
      </c>
      <c r="E927" t="s">
        <v>55</v>
      </c>
      <c r="F927" t="s">
        <v>60</v>
      </c>
      <c r="G927" t="s">
        <v>13</v>
      </c>
      <c r="H927" t="s">
        <v>46</v>
      </c>
      <c r="I927" t="s">
        <v>27</v>
      </c>
      <c r="J927" t="s">
        <v>1086</v>
      </c>
      <c r="K927">
        <v>15023.86</v>
      </c>
      <c r="L927">
        <v>0.18920003304482899</v>
      </c>
      <c r="M927">
        <v>2020</v>
      </c>
      <c r="N927" t="s">
        <v>1174</v>
      </c>
      <c r="O927">
        <v>7</v>
      </c>
      <c r="P927" t="s">
        <v>1214</v>
      </c>
    </row>
    <row r="928" spans="1:16" x14ac:dyDescent="0.3">
      <c r="A928" t="s">
        <v>34</v>
      </c>
      <c r="B928">
        <v>50689.19</v>
      </c>
      <c r="C928">
        <v>43597.77</v>
      </c>
      <c r="D928" s="1">
        <v>44153</v>
      </c>
      <c r="E928" t="s">
        <v>40</v>
      </c>
      <c r="F928" t="s">
        <v>135</v>
      </c>
      <c r="G928" t="s">
        <v>36</v>
      </c>
      <c r="H928" t="s">
        <v>93</v>
      </c>
      <c r="I928" t="s">
        <v>27</v>
      </c>
      <c r="J928" t="s">
        <v>1087</v>
      </c>
      <c r="K928">
        <v>7091.42</v>
      </c>
      <c r="L928">
        <v>0.13990004574939899</v>
      </c>
      <c r="M928">
        <v>2020</v>
      </c>
      <c r="N928" t="s">
        <v>1180</v>
      </c>
      <c r="O928">
        <v>11</v>
      </c>
      <c r="P928" t="s">
        <v>1216</v>
      </c>
    </row>
    <row r="929" spans="1:16" x14ac:dyDescent="0.3">
      <c r="A929" t="s">
        <v>34</v>
      </c>
      <c r="B929">
        <v>178465.4</v>
      </c>
      <c r="C929">
        <v>156282.15</v>
      </c>
      <c r="D929" s="1">
        <v>43948</v>
      </c>
      <c r="E929" t="s">
        <v>55</v>
      </c>
      <c r="F929" t="s">
        <v>164</v>
      </c>
      <c r="G929" t="s">
        <v>36</v>
      </c>
      <c r="H929" t="s">
        <v>104</v>
      </c>
      <c r="I929" t="s">
        <v>27</v>
      </c>
      <c r="J929" t="s">
        <v>1088</v>
      </c>
      <c r="K929">
        <v>22183.25</v>
      </c>
      <c r="L929">
        <v>0.124300004370595</v>
      </c>
      <c r="M929">
        <v>2020</v>
      </c>
      <c r="N929" t="s">
        <v>1172</v>
      </c>
      <c r="O929">
        <v>4</v>
      </c>
      <c r="P929" t="s">
        <v>1215</v>
      </c>
    </row>
    <row r="930" spans="1:16" x14ac:dyDescent="0.3">
      <c r="A930" t="s">
        <v>22</v>
      </c>
      <c r="B930">
        <v>89600.45</v>
      </c>
      <c r="C930">
        <v>70811.240000000005</v>
      </c>
      <c r="D930" s="1">
        <v>43851</v>
      </c>
      <c r="E930" t="s">
        <v>11</v>
      </c>
      <c r="F930" t="s">
        <v>18</v>
      </c>
      <c r="G930" t="s">
        <v>25</v>
      </c>
      <c r="H930" t="s">
        <v>167</v>
      </c>
      <c r="I930" t="s">
        <v>27</v>
      </c>
      <c r="J930" t="s">
        <v>1089</v>
      </c>
      <c r="K930">
        <v>18789.21</v>
      </c>
      <c r="L930">
        <v>0.20969995128372701</v>
      </c>
      <c r="M930">
        <v>2020</v>
      </c>
      <c r="N930" t="s">
        <v>1177</v>
      </c>
      <c r="O930">
        <v>1</v>
      </c>
      <c r="P930" t="s">
        <v>1217</v>
      </c>
    </row>
    <row r="931" spans="1:16" x14ac:dyDescent="0.3">
      <c r="A931" t="s">
        <v>17</v>
      </c>
      <c r="B931">
        <v>151855.04000000001</v>
      </c>
      <c r="C931">
        <v>129486.79</v>
      </c>
      <c r="D931" s="1">
        <v>43481</v>
      </c>
      <c r="E931" t="s">
        <v>29</v>
      </c>
      <c r="F931" t="s">
        <v>314</v>
      </c>
      <c r="G931" t="s">
        <v>19</v>
      </c>
      <c r="H931" t="s">
        <v>20</v>
      </c>
      <c r="I931" t="s">
        <v>27</v>
      </c>
      <c r="J931" t="s">
        <v>1090</v>
      </c>
      <c r="K931">
        <v>22368.25</v>
      </c>
      <c r="L931">
        <v>0.14730001717427399</v>
      </c>
      <c r="M931">
        <v>2019</v>
      </c>
      <c r="N931" t="s">
        <v>1177</v>
      </c>
      <c r="O931">
        <v>1</v>
      </c>
      <c r="P931" t="s">
        <v>1217</v>
      </c>
    </row>
    <row r="932" spans="1:16" x14ac:dyDescent="0.3">
      <c r="A932" t="s">
        <v>17</v>
      </c>
      <c r="B932">
        <v>147055.1</v>
      </c>
      <c r="C932">
        <v>126114.45</v>
      </c>
      <c r="D932" s="1">
        <v>43570</v>
      </c>
      <c r="E932" t="s">
        <v>11</v>
      </c>
      <c r="F932" t="s">
        <v>74</v>
      </c>
      <c r="G932" t="s">
        <v>19</v>
      </c>
      <c r="H932" t="s">
        <v>31</v>
      </c>
      <c r="I932" t="s">
        <v>27</v>
      </c>
      <c r="J932" t="s">
        <v>1091</v>
      </c>
      <c r="K932">
        <v>20940.650000000001</v>
      </c>
      <c r="L932">
        <v>0.142400025568647</v>
      </c>
      <c r="M932">
        <v>2019</v>
      </c>
      <c r="N932" t="s">
        <v>1172</v>
      </c>
      <c r="O932">
        <v>4</v>
      </c>
      <c r="P932" t="s">
        <v>1215</v>
      </c>
    </row>
    <row r="933" spans="1:16" x14ac:dyDescent="0.3">
      <c r="A933" t="s">
        <v>34</v>
      </c>
      <c r="B933">
        <v>29783.39</v>
      </c>
      <c r="C933">
        <v>23719.49</v>
      </c>
      <c r="D933" s="1">
        <v>43796</v>
      </c>
      <c r="E933" t="s">
        <v>91</v>
      </c>
      <c r="F933" t="s">
        <v>308</v>
      </c>
      <c r="G933" t="s">
        <v>36</v>
      </c>
      <c r="H933" t="s">
        <v>104</v>
      </c>
      <c r="I933" t="s">
        <v>27</v>
      </c>
      <c r="J933" t="s">
        <v>1092</v>
      </c>
      <c r="K933">
        <v>6063.9</v>
      </c>
      <c r="L933">
        <v>0.20360006030206801</v>
      </c>
      <c r="M933">
        <v>2019</v>
      </c>
      <c r="N933" t="s">
        <v>1180</v>
      </c>
      <c r="O933">
        <v>11</v>
      </c>
      <c r="P933" t="s">
        <v>1216</v>
      </c>
    </row>
    <row r="934" spans="1:16" x14ac:dyDescent="0.3">
      <c r="A934" t="s">
        <v>22</v>
      </c>
      <c r="B934">
        <v>154072.89000000001</v>
      </c>
      <c r="C934">
        <v>121887.06</v>
      </c>
      <c r="D934" s="1">
        <v>44104</v>
      </c>
      <c r="E934" t="s">
        <v>76</v>
      </c>
      <c r="F934" t="s">
        <v>149</v>
      </c>
      <c r="G934" t="s">
        <v>25</v>
      </c>
      <c r="H934" t="s">
        <v>167</v>
      </c>
      <c r="I934" t="s">
        <v>27</v>
      </c>
      <c r="J934" t="s">
        <v>1093</v>
      </c>
      <c r="K934">
        <v>32185.83</v>
      </c>
      <c r="L934">
        <v>0.208900021282135</v>
      </c>
      <c r="M934">
        <v>2020</v>
      </c>
      <c r="N934" t="s">
        <v>1175</v>
      </c>
      <c r="O934">
        <v>9</v>
      </c>
      <c r="P934" t="s">
        <v>1216</v>
      </c>
    </row>
    <row r="935" spans="1:16" x14ac:dyDescent="0.3">
      <c r="A935" t="s">
        <v>122</v>
      </c>
      <c r="B935">
        <v>278731.90000000002</v>
      </c>
      <c r="C935">
        <v>221591.86</v>
      </c>
      <c r="D935" s="1">
        <v>43597</v>
      </c>
      <c r="E935" t="s">
        <v>23</v>
      </c>
      <c r="F935" t="s">
        <v>236</v>
      </c>
      <c r="G935" t="s">
        <v>123</v>
      </c>
      <c r="H935" t="s">
        <v>124</v>
      </c>
      <c r="I935" t="s">
        <v>27</v>
      </c>
      <c r="J935" t="s">
        <v>1094</v>
      </c>
      <c r="K935">
        <v>57140.04</v>
      </c>
      <c r="L935">
        <v>0.20500000179383801</v>
      </c>
      <c r="M935">
        <v>2019</v>
      </c>
      <c r="N935" t="s">
        <v>1173</v>
      </c>
      <c r="O935">
        <v>5</v>
      </c>
      <c r="P935" t="s">
        <v>1215</v>
      </c>
    </row>
    <row r="936" spans="1:16" x14ac:dyDescent="0.3">
      <c r="A936" t="s">
        <v>17</v>
      </c>
      <c r="B936">
        <v>132235.46</v>
      </c>
      <c r="C936">
        <v>114132.43</v>
      </c>
      <c r="D936" s="1">
        <v>43836</v>
      </c>
      <c r="E936" t="s">
        <v>91</v>
      </c>
      <c r="F936" t="s">
        <v>109</v>
      </c>
      <c r="G936" t="s">
        <v>19</v>
      </c>
      <c r="H936" t="s">
        <v>157</v>
      </c>
      <c r="I936" t="s">
        <v>27</v>
      </c>
      <c r="J936" t="s">
        <v>1095</v>
      </c>
      <c r="K936">
        <v>18103.03</v>
      </c>
      <c r="L936">
        <v>0.13689996616641301</v>
      </c>
      <c r="M936">
        <v>2020</v>
      </c>
      <c r="N936" t="s">
        <v>1177</v>
      </c>
      <c r="O936">
        <v>1</v>
      </c>
      <c r="P936" t="s">
        <v>1217</v>
      </c>
    </row>
    <row r="937" spans="1:16" x14ac:dyDescent="0.3">
      <c r="A937" t="s">
        <v>22</v>
      </c>
      <c r="B937">
        <v>118321.11</v>
      </c>
      <c r="C937">
        <v>94822.54</v>
      </c>
      <c r="D937" s="1">
        <v>44158</v>
      </c>
      <c r="E937" t="s">
        <v>29</v>
      </c>
      <c r="F937" t="s">
        <v>133</v>
      </c>
      <c r="G937" t="s">
        <v>25</v>
      </c>
      <c r="H937" t="s">
        <v>52</v>
      </c>
      <c r="I937" t="s">
        <v>15</v>
      </c>
      <c r="J937" t="s">
        <v>1096</v>
      </c>
      <c r="K937">
        <v>23498.57</v>
      </c>
      <c r="L937">
        <v>0.198599979327442</v>
      </c>
      <c r="M937">
        <v>2020</v>
      </c>
      <c r="N937" t="s">
        <v>1180</v>
      </c>
      <c r="O937">
        <v>11</v>
      </c>
      <c r="P937" t="s">
        <v>1216</v>
      </c>
    </row>
    <row r="938" spans="1:16" x14ac:dyDescent="0.3">
      <c r="A938" t="s">
        <v>17</v>
      </c>
      <c r="B938">
        <v>88977.22</v>
      </c>
      <c r="C938">
        <v>72534.23</v>
      </c>
      <c r="D938" s="1">
        <v>43900</v>
      </c>
      <c r="E938" t="s">
        <v>91</v>
      </c>
      <c r="F938" t="s">
        <v>95</v>
      </c>
      <c r="G938" t="s">
        <v>19</v>
      </c>
      <c r="H938" t="s">
        <v>157</v>
      </c>
      <c r="I938" t="s">
        <v>27</v>
      </c>
      <c r="J938" t="s">
        <v>1097</v>
      </c>
      <c r="K938">
        <v>16442.990000000002</v>
      </c>
      <c r="L938">
        <v>0.18479999712285899</v>
      </c>
      <c r="M938">
        <v>2020</v>
      </c>
      <c r="N938" t="s">
        <v>1176</v>
      </c>
      <c r="O938">
        <v>3</v>
      </c>
      <c r="P938" t="s">
        <v>1215</v>
      </c>
    </row>
    <row r="939" spans="1:16" x14ac:dyDescent="0.3">
      <c r="A939" t="s">
        <v>22</v>
      </c>
      <c r="B939">
        <v>204133.95</v>
      </c>
      <c r="C939">
        <v>167553.15</v>
      </c>
      <c r="D939" s="1">
        <v>43995</v>
      </c>
      <c r="E939" t="s">
        <v>11</v>
      </c>
      <c r="F939" t="s">
        <v>227</v>
      </c>
      <c r="G939" t="s">
        <v>25</v>
      </c>
      <c r="H939" t="s">
        <v>26</v>
      </c>
      <c r="I939" t="s">
        <v>27</v>
      </c>
      <c r="J939" t="s">
        <v>1098</v>
      </c>
      <c r="K939">
        <v>36580.800000000003</v>
      </c>
      <c r="L939">
        <v>0.17919998118882199</v>
      </c>
      <c r="M939">
        <v>2020</v>
      </c>
      <c r="N939" t="s">
        <v>1179</v>
      </c>
      <c r="O939">
        <v>6</v>
      </c>
      <c r="P939" t="s">
        <v>1214</v>
      </c>
    </row>
    <row r="940" spans="1:16" x14ac:dyDescent="0.3">
      <c r="A940" t="s">
        <v>34</v>
      </c>
      <c r="B940">
        <v>102000.57</v>
      </c>
      <c r="C940">
        <v>87261.49</v>
      </c>
      <c r="D940" s="1">
        <v>43907</v>
      </c>
      <c r="E940" t="s">
        <v>11</v>
      </c>
      <c r="F940" t="s">
        <v>95</v>
      </c>
      <c r="G940" t="s">
        <v>36</v>
      </c>
      <c r="H940" t="s">
        <v>37</v>
      </c>
      <c r="I940" t="s">
        <v>27</v>
      </c>
      <c r="J940" t="s">
        <v>1099</v>
      </c>
      <c r="K940">
        <v>14739.08</v>
      </c>
      <c r="L940">
        <v>0.14449997681385501</v>
      </c>
      <c r="M940">
        <v>2020</v>
      </c>
      <c r="N940" t="s">
        <v>1176</v>
      </c>
      <c r="O940">
        <v>3</v>
      </c>
      <c r="P940" t="s">
        <v>1215</v>
      </c>
    </row>
    <row r="941" spans="1:16" x14ac:dyDescent="0.3">
      <c r="A941" t="s">
        <v>10</v>
      </c>
      <c r="B941">
        <v>115226.8</v>
      </c>
      <c r="C941">
        <v>94336.18</v>
      </c>
      <c r="D941" s="1">
        <v>43600</v>
      </c>
      <c r="E941" t="s">
        <v>76</v>
      </c>
      <c r="F941" t="s">
        <v>18</v>
      </c>
      <c r="G941" t="s">
        <v>13</v>
      </c>
      <c r="H941" t="s">
        <v>14</v>
      </c>
      <c r="I941" t="s">
        <v>27</v>
      </c>
      <c r="J941" t="s">
        <v>1100</v>
      </c>
      <c r="K941">
        <v>20890.62</v>
      </c>
      <c r="L941">
        <v>0.181300010067102</v>
      </c>
      <c r="M941">
        <v>2019</v>
      </c>
      <c r="N941" t="s">
        <v>1173</v>
      </c>
      <c r="O941">
        <v>5</v>
      </c>
      <c r="P941" t="s">
        <v>1215</v>
      </c>
    </row>
    <row r="942" spans="1:16" x14ac:dyDescent="0.3">
      <c r="A942" t="s">
        <v>17</v>
      </c>
      <c r="B942">
        <v>49664.17</v>
      </c>
      <c r="C942">
        <v>39244.629999999997</v>
      </c>
      <c r="D942" s="1">
        <v>43768</v>
      </c>
      <c r="E942" t="s">
        <v>91</v>
      </c>
      <c r="F942" t="s">
        <v>135</v>
      </c>
      <c r="G942" t="s">
        <v>19</v>
      </c>
      <c r="H942" t="s">
        <v>20</v>
      </c>
      <c r="I942" t="s">
        <v>27</v>
      </c>
      <c r="J942" t="s">
        <v>1101</v>
      </c>
      <c r="K942">
        <v>10419.540000000001</v>
      </c>
      <c r="L942">
        <v>0.20979994229240101</v>
      </c>
      <c r="M942">
        <v>2019</v>
      </c>
      <c r="N942" t="s">
        <v>1178</v>
      </c>
      <c r="O942">
        <v>10</v>
      </c>
      <c r="P942" t="s">
        <v>1216</v>
      </c>
    </row>
    <row r="943" spans="1:16" x14ac:dyDescent="0.3">
      <c r="A943" t="s">
        <v>10</v>
      </c>
      <c r="B943">
        <v>35354.22</v>
      </c>
      <c r="C943">
        <v>30517.759999999998</v>
      </c>
      <c r="D943" s="1">
        <v>43523</v>
      </c>
      <c r="E943" t="s">
        <v>51</v>
      </c>
      <c r="F943" t="s">
        <v>92</v>
      </c>
      <c r="G943" t="s">
        <v>13</v>
      </c>
      <c r="H943" t="s">
        <v>110</v>
      </c>
      <c r="I943" t="s">
        <v>27</v>
      </c>
      <c r="J943" t="s">
        <v>1102</v>
      </c>
      <c r="K943">
        <v>4836.46</v>
      </c>
      <c r="L943">
        <v>0.13680007648309001</v>
      </c>
      <c r="M943">
        <v>2019</v>
      </c>
      <c r="N943" t="s">
        <v>1181</v>
      </c>
      <c r="O943">
        <v>2</v>
      </c>
      <c r="P943" t="s">
        <v>1217</v>
      </c>
    </row>
    <row r="944" spans="1:16" x14ac:dyDescent="0.3">
      <c r="A944" t="s">
        <v>17</v>
      </c>
      <c r="B944">
        <v>128804.51</v>
      </c>
      <c r="C944">
        <v>105709.86</v>
      </c>
      <c r="D944" s="1">
        <v>43721</v>
      </c>
      <c r="E944" t="s">
        <v>23</v>
      </c>
      <c r="F944" t="s">
        <v>48</v>
      </c>
      <c r="G944" t="s">
        <v>19</v>
      </c>
      <c r="H944" t="s">
        <v>20</v>
      </c>
      <c r="I944" t="s">
        <v>15</v>
      </c>
      <c r="J944" t="s">
        <v>1103</v>
      </c>
      <c r="K944">
        <v>23094.65</v>
      </c>
      <c r="L944">
        <v>0.179300010535345</v>
      </c>
      <c r="M944">
        <v>2019</v>
      </c>
      <c r="N944" t="s">
        <v>1175</v>
      </c>
      <c r="O944">
        <v>9</v>
      </c>
      <c r="P944" t="s">
        <v>1216</v>
      </c>
    </row>
    <row r="945" spans="1:16" x14ac:dyDescent="0.3">
      <c r="A945" t="s">
        <v>17</v>
      </c>
      <c r="B945">
        <v>107499.78</v>
      </c>
      <c r="C945">
        <v>91364.06</v>
      </c>
      <c r="D945" s="1">
        <v>43522</v>
      </c>
      <c r="E945" t="s">
        <v>51</v>
      </c>
      <c r="F945" t="s">
        <v>149</v>
      </c>
      <c r="G945" t="s">
        <v>19</v>
      </c>
      <c r="H945" t="s">
        <v>20</v>
      </c>
      <c r="I945" t="s">
        <v>27</v>
      </c>
      <c r="J945" t="s">
        <v>1104</v>
      </c>
      <c r="K945">
        <v>16135.72</v>
      </c>
      <c r="L945">
        <v>0.15010002811168499</v>
      </c>
      <c r="M945">
        <v>2019</v>
      </c>
      <c r="N945" t="s">
        <v>1181</v>
      </c>
      <c r="O945">
        <v>2</v>
      </c>
      <c r="P945" t="s">
        <v>1217</v>
      </c>
    </row>
    <row r="946" spans="1:16" x14ac:dyDescent="0.3">
      <c r="A946" t="s">
        <v>10</v>
      </c>
      <c r="B946">
        <v>50646.66</v>
      </c>
      <c r="C946">
        <v>43039.53</v>
      </c>
      <c r="D946" s="1">
        <v>43834</v>
      </c>
      <c r="E946" t="s">
        <v>40</v>
      </c>
      <c r="F946" t="s">
        <v>56</v>
      </c>
      <c r="G946" t="s">
        <v>13</v>
      </c>
      <c r="H946" t="s">
        <v>72</v>
      </c>
      <c r="I946" t="s">
        <v>27</v>
      </c>
      <c r="J946" t="s">
        <v>1105</v>
      </c>
      <c r="K946">
        <v>7607.13</v>
      </c>
      <c r="L946">
        <v>0.15020003293405701</v>
      </c>
      <c r="M946">
        <v>2020</v>
      </c>
      <c r="N946" t="s">
        <v>1177</v>
      </c>
      <c r="O946">
        <v>1</v>
      </c>
      <c r="P946" t="s">
        <v>1217</v>
      </c>
    </row>
    <row r="947" spans="1:16" x14ac:dyDescent="0.3">
      <c r="A947" t="s">
        <v>122</v>
      </c>
      <c r="B947">
        <v>103874.1</v>
      </c>
      <c r="C947">
        <v>82112.479999999996</v>
      </c>
      <c r="D947" s="1">
        <v>43479</v>
      </c>
      <c r="E947" t="s">
        <v>181</v>
      </c>
      <c r="F947" t="s">
        <v>56</v>
      </c>
      <c r="G947" t="s">
        <v>123</v>
      </c>
      <c r="H947" t="s">
        <v>254</v>
      </c>
      <c r="I947" t="s">
        <v>27</v>
      </c>
      <c r="J947" t="s">
        <v>1106</v>
      </c>
      <c r="K947">
        <v>21761.62</v>
      </c>
      <c r="L947">
        <v>0.20949996197319601</v>
      </c>
      <c r="M947">
        <v>2019</v>
      </c>
      <c r="N947" t="s">
        <v>1177</v>
      </c>
      <c r="O947">
        <v>1</v>
      </c>
      <c r="P947" t="s">
        <v>1217</v>
      </c>
    </row>
    <row r="948" spans="1:16" x14ac:dyDescent="0.3">
      <c r="A948" t="s">
        <v>34</v>
      </c>
      <c r="B948">
        <v>128227.36</v>
      </c>
      <c r="C948">
        <v>106710.81</v>
      </c>
      <c r="D948" s="1">
        <v>43471</v>
      </c>
      <c r="E948" t="s">
        <v>55</v>
      </c>
      <c r="F948" t="s">
        <v>300</v>
      </c>
      <c r="G948" t="s">
        <v>36</v>
      </c>
      <c r="H948" t="s">
        <v>93</v>
      </c>
      <c r="I948" t="s">
        <v>27</v>
      </c>
      <c r="J948" t="s">
        <v>1107</v>
      </c>
      <c r="K948">
        <v>21516.55</v>
      </c>
      <c r="L948">
        <v>0.16779999213896299</v>
      </c>
      <c r="M948">
        <v>2019</v>
      </c>
      <c r="N948" t="s">
        <v>1177</v>
      </c>
      <c r="O948">
        <v>1</v>
      </c>
      <c r="P948" t="s">
        <v>1217</v>
      </c>
    </row>
    <row r="949" spans="1:16" x14ac:dyDescent="0.3">
      <c r="A949" t="s">
        <v>17</v>
      </c>
      <c r="B949">
        <v>140635.94</v>
      </c>
      <c r="C949">
        <v>115194.9</v>
      </c>
      <c r="D949" s="1">
        <v>44055</v>
      </c>
      <c r="E949" t="s">
        <v>51</v>
      </c>
      <c r="F949" t="s">
        <v>56</v>
      </c>
      <c r="G949" t="s">
        <v>19</v>
      </c>
      <c r="H949" t="s">
        <v>20</v>
      </c>
      <c r="I949" t="s">
        <v>27</v>
      </c>
      <c r="J949" t="s">
        <v>1108</v>
      </c>
      <c r="K949">
        <v>25441.040000000001</v>
      </c>
      <c r="L949">
        <v>0.18089998900707699</v>
      </c>
      <c r="M949">
        <v>2020</v>
      </c>
      <c r="N949" t="s">
        <v>1171</v>
      </c>
      <c r="O949">
        <v>8</v>
      </c>
      <c r="P949" t="s">
        <v>1214</v>
      </c>
    </row>
    <row r="950" spans="1:16" x14ac:dyDescent="0.3">
      <c r="A950" t="s">
        <v>10</v>
      </c>
      <c r="B950">
        <v>83782.11</v>
      </c>
      <c r="C950">
        <v>67310.55</v>
      </c>
      <c r="D950" s="1">
        <v>43740</v>
      </c>
      <c r="E950" t="s">
        <v>29</v>
      </c>
      <c r="F950" t="s">
        <v>222</v>
      </c>
      <c r="G950" t="s">
        <v>13</v>
      </c>
      <c r="H950" t="s">
        <v>72</v>
      </c>
      <c r="I950" t="s">
        <v>27</v>
      </c>
      <c r="J950" t="s">
        <v>1109</v>
      </c>
      <c r="K950">
        <v>16471.560000000001</v>
      </c>
      <c r="L950">
        <v>0.19659996626964901</v>
      </c>
      <c r="M950">
        <v>2019</v>
      </c>
      <c r="N950" t="s">
        <v>1178</v>
      </c>
      <c r="O950">
        <v>10</v>
      </c>
      <c r="P950" t="s">
        <v>1216</v>
      </c>
    </row>
    <row r="951" spans="1:16" x14ac:dyDescent="0.3">
      <c r="A951" t="s">
        <v>10</v>
      </c>
      <c r="B951">
        <v>162101.93</v>
      </c>
      <c r="C951">
        <v>133912.4</v>
      </c>
      <c r="D951" s="1">
        <v>43818</v>
      </c>
      <c r="E951" t="s">
        <v>51</v>
      </c>
      <c r="F951" t="s">
        <v>149</v>
      </c>
      <c r="G951" t="s">
        <v>13</v>
      </c>
      <c r="H951" t="s">
        <v>14</v>
      </c>
      <c r="I951" t="s">
        <v>27</v>
      </c>
      <c r="J951" t="s">
        <v>1110</v>
      </c>
      <c r="K951">
        <v>28189.53</v>
      </c>
      <c r="L951">
        <v>0.173900026976853</v>
      </c>
      <c r="M951">
        <v>2019</v>
      </c>
      <c r="N951" t="s">
        <v>1182</v>
      </c>
      <c r="O951">
        <v>12</v>
      </c>
      <c r="P951" t="s">
        <v>1217</v>
      </c>
    </row>
    <row r="952" spans="1:16" x14ac:dyDescent="0.3">
      <c r="A952" t="s">
        <v>34</v>
      </c>
      <c r="B952">
        <v>62947.82</v>
      </c>
      <c r="C952">
        <v>49967.98</v>
      </c>
      <c r="D952" s="1">
        <v>43754</v>
      </c>
      <c r="E952" t="s">
        <v>55</v>
      </c>
      <c r="F952" t="s">
        <v>156</v>
      </c>
      <c r="G952" t="s">
        <v>36</v>
      </c>
      <c r="H952" t="s">
        <v>37</v>
      </c>
      <c r="I952" t="s">
        <v>27</v>
      </c>
      <c r="J952" t="s">
        <v>1111</v>
      </c>
      <c r="K952">
        <v>12979.84</v>
      </c>
      <c r="L952">
        <v>0.20619999231109201</v>
      </c>
      <c r="M952">
        <v>2019</v>
      </c>
      <c r="N952" t="s">
        <v>1178</v>
      </c>
      <c r="O952">
        <v>10</v>
      </c>
      <c r="P952" t="s">
        <v>1216</v>
      </c>
    </row>
    <row r="953" spans="1:16" x14ac:dyDescent="0.3">
      <c r="A953" t="s">
        <v>22</v>
      </c>
      <c r="B953">
        <v>238085.99</v>
      </c>
      <c r="C953">
        <v>193587.72</v>
      </c>
      <c r="D953" s="1">
        <v>44028</v>
      </c>
      <c r="E953" t="s">
        <v>40</v>
      </c>
      <c r="F953" t="s">
        <v>149</v>
      </c>
      <c r="G953" t="s">
        <v>25</v>
      </c>
      <c r="H953" t="s">
        <v>63</v>
      </c>
      <c r="I953" t="s">
        <v>27</v>
      </c>
      <c r="J953" t="s">
        <v>1112</v>
      </c>
      <c r="K953">
        <v>44498.27</v>
      </c>
      <c r="L953">
        <v>0.18689999356955</v>
      </c>
      <c r="M953">
        <v>2020</v>
      </c>
      <c r="N953" t="s">
        <v>1174</v>
      </c>
      <c r="O953">
        <v>7</v>
      </c>
      <c r="P953" t="s">
        <v>1214</v>
      </c>
    </row>
    <row r="954" spans="1:16" x14ac:dyDescent="0.3">
      <c r="A954" t="s">
        <v>151</v>
      </c>
      <c r="B954">
        <v>57107.26</v>
      </c>
      <c r="C954">
        <v>48232.79</v>
      </c>
      <c r="D954" s="1">
        <v>43874</v>
      </c>
      <c r="E954" t="s">
        <v>181</v>
      </c>
      <c r="F954" t="s">
        <v>97</v>
      </c>
      <c r="G954" t="s">
        <v>152</v>
      </c>
      <c r="H954" t="s">
        <v>197</v>
      </c>
      <c r="I954" t="s">
        <v>32</v>
      </c>
      <c r="J954" t="s">
        <v>1113</v>
      </c>
      <c r="K954">
        <v>8874.4699999999993</v>
      </c>
      <c r="L954">
        <v>0.155400031449592</v>
      </c>
      <c r="M954">
        <v>2020</v>
      </c>
      <c r="N954" t="s">
        <v>1181</v>
      </c>
      <c r="O954">
        <v>2</v>
      </c>
      <c r="P954" t="s">
        <v>1217</v>
      </c>
    </row>
    <row r="955" spans="1:16" x14ac:dyDescent="0.3">
      <c r="A955" t="s">
        <v>34</v>
      </c>
      <c r="B955">
        <v>133696.85999999999</v>
      </c>
      <c r="C955">
        <v>109310.55</v>
      </c>
      <c r="D955" s="1">
        <v>43857</v>
      </c>
      <c r="E955" t="s">
        <v>91</v>
      </c>
      <c r="F955" t="s">
        <v>256</v>
      </c>
      <c r="G955" t="s">
        <v>36</v>
      </c>
      <c r="H955" t="s">
        <v>104</v>
      </c>
      <c r="I955" t="s">
        <v>27</v>
      </c>
      <c r="J955" t="s">
        <v>1114</v>
      </c>
      <c r="K955">
        <v>24386.31</v>
      </c>
      <c r="L955">
        <v>0.182400020464205</v>
      </c>
      <c r="M955">
        <v>2020</v>
      </c>
      <c r="N955" t="s">
        <v>1177</v>
      </c>
      <c r="O955">
        <v>1</v>
      </c>
      <c r="P955" t="s">
        <v>1217</v>
      </c>
    </row>
    <row r="956" spans="1:16" x14ac:dyDescent="0.3">
      <c r="A956" t="s">
        <v>122</v>
      </c>
      <c r="B956">
        <v>65329.65</v>
      </c>
      <c r="C956">
        <v>53237.13</v>
      </c>
      <c r="D956" s="1">
        <v>43887</v>
      </c>
      <c r="E956" t="s">
        <v>40</v>
      </c>
      <c r="F956" t="s">
        <v>222</v>
      </c>
      <c r="G956" t="s">
        <v>123</v>
      </c>
      <c r="H956" t="s">
        <v>254</v>
      </c>
      <c r="I956" t="s">
        <v>32</v>
      </c>
      <c r="J956" t="s">
        <v>1115</v>
      </c>
      <c r="K956">
        <v>12092.52</v>
      </c>
      <c r="L956">
        <v>0.18510002732296901</v>
      </c>
      <c r="M956">
        <v>2020</v>
      </c>
      <c r="N956" t="s">
        <v>1181</v>
      </c>
      <c r="O956">
        <v>2</v>
      </c>
      <c r="P956" t="s">
        <v>1217</v>
      </c>
    </row>
    <row r="957" spans="1:16" x14ac:dyDescent="0.3">
      <c r="A957" t="s">
        <v>34</v>
      </c>
      <c r="B957">
        <v>124414.74</v>
      </c>
      <c r="C957">
        <v>98959.48</v>
      </c>
      <c r="D957" s="1">
        <v>43629</v>
      </c>
      <c r="E957" t="s">
        <v>181</v>
      </c>
      <c r="F957" t="s">
        <v>41</v>
      </c>
      <c r="G957" t="s">
        <v>36</v>
      </c>
      <c r="H957" t="s">
        <v>104</v>
      </c>
      <c r="I957" t="s">
        <v>27</v>
      </c>
      <c r="J957" t="s">
        <v>1116</v>
      </c>
      <c r="K957">
        <v>25455.26</v>
      </c>
      <c r="L957">
        <v>0.20460003372590699</v>
      </c>
      <c r="M957">
        <v>2019</v>
      </c>
      <c r="N957" t="s">
        <v>1179</v>
      </c>
      <c r="O957">
        <v>6</v>
      </c>
      <c r="P957" t="s">
        <v>1214</v>
      </c>
    </row>
    <row r="958" spans="1:16" x14ac:dyDescent="0.3">
      <c r="A958" t="s">
        <v>22</v>
      </c>
      <c r="B958">
        <v>48090.78</v>
      </c>
      <c r="C958">
        <v>42040.959999999999</v>
      </c>
      <c r="D958" s="1">
        <v>43909</v>
      </c>
      <c r="E958" t="s">
        <v>91</v>
      </c>
      <c r="F958" t="s">
        <v>80</v>
      </c>
      <c r="G958" t="s">
        <v>25</v>
      </c>
      <c r="H958" t="s">
        <v>26</v>
      </c>
      <c r="I958" t="s">
        <v>27</v>
      </c>
      <c r="J958" t="s">
        <v>1117</v>
      </c>
      <c r="K958">
        <v>6049.82</v>
      </c>
      <c r="L958">
        <v>0.12579999742154299</v>
      </c>
      <c r="M958">
        <v>2020</v>
      </c>
      <c r="N958" t="s">
        <v>1176</v>
      </c>
      <c r="O958">
        <v>3</v>
      </c>
      <c r="P958" t="s">
        <v>1215</v>
      </c>
    </row>
    <row r="959" spans="1:16" x14ac:dyDescent="0.3">
      <c r="A959" t="s">
        <v>17</v>
      </c>
      <c r="B959">
        <v>214615.79</v>
      </c>
      <c r="C959">
        <v>177637.49</v>
      </c>
      <c r="D959" s="1">
        <v>43646</v>
      </c>
      <c r="E959" t="s">
        <v>11</v>
      </c>
      <c r="F959" t="s">
        <v>144</v>
      </c>
      <c r="G959" t="s">
        <v>19</v>
      </c>
      <c r="H959" t="s">
        <v>20</v>
      </c>
      <c r="I959" t="s">
        <v>27</v>
      </c>
      <c r="J959" t="s">
        <v>1118</v>
      </c>
      <c r="K959">
        <v>36978.300000000003</v>
      </c>
      <c r="L959">
        <v>0.172299997125095</v>
      </c>
      <c r="M959">
        <v>2019</v>
      </c>
      <c r="N959" t="s">
        <v>1179</v>
      </c>
      <c r="O959">
        <v>6</v>
      </c>
      <c r="P959" t="s">
        <v>1214</v>
      </c>
    </row>
    <row r="960" spans="1:16" x14ac:dyDescent="0.3">
      <c r="A960" t="s">
        <v>10</v>
      </c>
      <c r="B960">
        <v>70596.7</v>
      </c>
      <c r="C960">
        <v>60564.91</v>
      </c>
      <c r="D960" s="1">
        <v>44076</v>
      </c>
      <c r="E960" t="s">
        <v>29</v>
      </c>
      <c r="F960" t="s">
        <v>256</v>
      </c>
      <c r="G960" t="s">
        <v>13</v>
      </c>
      <c r="H960" t="s">
        <v>46</v>
      </c>
      <c r="I960" t="s">
        <v>27</v>
      </c>
      <c r="J960" t="s">
        <v>1119</v>
      </c>
      <c r="K960">
        <v>10031.790000000001</v>
      </c>
      <c r="L960">
        <v>0.14209998484348399</v>
      </c>
      <c r="M960">
        <v>2020</v>
      </c>
      <c r="N960" t="s">
        <v>1175</v>
      </c>
      <c r="O960">
        <v>9</v>
      </c>
      <c r="P960" t="s">
        <v>1216</v>
      </c>
    </row>
    <row r="961" spans="1:16" x14ac:dyDescent="0.3">
      <c r="A961" t="s">
        <v>151</v>
      </c>
      <c r="B961">
        <v>114232.68</v>
      </c>
      <c r="C961">
        <v>95795.520000000004</v>
      </c>
      <c r="D961" s="1">
        <v>43547</v>
      </c>
      <c r="E961" t="s">
        <v>40</v>
      </c>
      <c r="F961" t="s">
        <v>56</v>
      </c>
      <c r="G961" t="s">
        <v>152</v>
      </c>
      <c r="H961" t="s">
        <v>197</v>
      </c>
      <c r="I961" t="s">
        <v>15</v>
      </c>
      <c r="J961" t="s">
        <v>1120</v>
      </c>
      <c r="K961">
        <v>18437.16</v>
      </c>
      <c r="L961">
        <v>0.16140004769213201</v>
      </c>
      <c r="M961">
        <v>2019</v>
      </c>
      <c r="N961" t="s">
        <v>1176</v>
      </c>
      <c r="O961">
        <v>3</v>
      </c>
      <c r="P961" t="s">
        <v>1215</v>
      </c>
    </row>
    <row r="962" spans="1:16" x14ac:dyDescent="0.3">
      <c r="A962" t="s">
        <v>10</v>
      </c>
      <c r="B962">
        <v>45463.65</v>
      </c>
      <c r="C962">
        <v>36907.39</v>
      </c>
      <c r="D962" s="1">
        <v>44072</v>
      </c>
      <c r="E962" t="s">
        <v>40</v>
      </c>
      <c r="F962" t="s">
        <v>755</v>
      </c>
      <c r="G962" t="s">
        <v>13</v>
      </c>
      <c r="H962" t="s">
        <v>46</v>
      </c>
      <c r="I962" t="s">
        <v>27</v>
      </c>
      <c r="J962" t="s">
        <v>1121</v>
      </c>
      <c r="K962">
        <v>8556.26</v>
      </c>
      <c r="L962">
        <v>0.188200023535286</v>
      </c>
      <c r="M962">
        <v>2020</v>
      </c>
      <c r="N962" t="s">
        <v>1171</v>
      </c>
      <c r="O962">
        <v>8</v>
      </c>
      <c r="P962" t="s">
        <v>1214</v>
      </c>
    </row>
    <row r="963" spans="1:16" x14ac:dyDescent="0.3">
      <c r="A963" t="s">
        <v>216</v>
      </c>
      <c r="B963">
        <v>23290.84</v>
      </c>
      <c r="C963">
        <v>19147.400000000001</v>
      </c>
      <c r="D963" s="1">
        <v>43521</v>
      </c>
      <c r="E963" t="s">
        <v>29</v>
      </c>
      <c r="F963" t="s">
        <v>12</v>
      </c>
      <c r="G963" t="s">
        <v>217</v>
      </c>
      <c r="H963" t="s">
        <v>218</v>
      </c>
      <c r="I963" t="s">
        <v>27</v>
      </c>
      <c r="J963" t="s">
        <v>1122</v>
      </c>
      <c r="K963">
        <v>4143.4399999999996</v>
      </c>
      <c r="L963">
        <v>0.17789998128019399</v>
      </c>
      <c r="M963">
        <v>2019</v>
      </c>
      <c r="N963" t="s">
        <v>1181</v>
      </c>
      <c r="O963">
        <v>2</v>
      </c>
      <c r="P963" t="s">
        <v>1217</v>
      </c>
    </row>
    <row r="964" spans="1:16" x14ac:dyDescent="0.3">
      <c r="A964" t="s">
        <v>22</v>
      </c>
      <c r="B964">
        <v>103279.79</v>
      </c>
      <c r="C964">
        <v>82334.649999999994</v>
      </c>
      <c r="D964" s="1">
        <v>44168</v>
      </c>
      <c r="E964" t="s">
        <v>23</v>
      </c>
      <c r="F964" t="s">
        <v>56</v>
      </c>
      <c r="G964" t="s">
        <v>25</v>
      </c>
      <c r="H964" t="s">
        <v>52</v>
      </c>
      <c r="I964" t="s">
        <v>27</v>
      </c>
      <c r="J964" t="s">
        <v>1123</v>
      </c>
      <c r="K964">
        <v>20945.14</v>
      </c>
      <c r="L964">
        <v>0.20279998632839999</v>
      </c>
      <c r="M964">
        <v>2020</v>
      </c>
      <c r="N964" t="s">
        <v>1182</v>
      </c>
      <c r="O964">
        <v>12</v>
      </c>
      <c r="P964" t="s">
        <v>1217</v>
      </c>
    </row>
    <row r="965" spans="1:16" x14ac:dyDescent="0.3">
      <c r="A965" t="s">
        <v>66</v>
      </c>
      <c r="B965">
        <v>76426.539999999994</v>
      </c>
      <c r="C965">
        <v>66116.600000000006</v>
      </c>
      <c r="D965" s="1">
        <v>43540</v>
      </c>
      <c r="E965" t="s">
        <v>40</v>
      </c>
      <c r="F965" t="s">
        <v>67</v>
      </c>
      <c r="G965" t="s">
        <v>68</v>
      </c>
      <c r="H965" t="s">
        <v>69</v>
      </c>
      <c r="I965" t="s">
        <v>27</v>
      </c>
      <c r="J965" t="s">
        <v>1124</v>
      </c>
      <c r="K965">
        <v>10309.94</v>
      </c>
      <c r="L965">
        <v>0.134899996781223</v>
      </c>
      <c r="M965">
        <v>2019</v>
      </c>
      <c r="N965" t="s">
        <v>1176</v>
      </c>
      <c r="O965">
        <v>3</v>
      </c>
      <c r="P965" t="s">
        <v>1215</v>
      </c>
    </row>
    <row r="966" spans="1:16" x14ac:dyDescent="0.3">
      <c r="A966" t="s">
        <v>10</v>
      </c>
      <c r="B966">
        <v>167123.72</v>
      </c>
      <c r="C966">
        <v>132946.92000000001</v>
      </c>
      <c r="D966" s="1">
        <v>43473</v>
      </c>
      <c r="E966" t="s">
        <v>51</v>
      </c>
      <c r="F966" t="s">
        <v>24</v>
      </c>
      <c r="G966" t="s">
        <v>13</v>
      </c>
      <c r="H966" t="s">
        <v>46</v>
      </c>
      <c r="I966" t="s">
        <v>27</v>
      </c>
      <c r="J966" t="s">
        <v>1125</v>
      </c>
      <c r="K966">
        <v>34176.800000000003</v>
      </c>
      <c r="L966">
        <v>0.20449999557214299</v>
      </c>
      <c r="M966">
        <v>2019</v>
      </c>
      <c r="N966" t="s">
        <v>1177</v>
      </c>
      <c r="O966">
        <v>1</v>
      </c>
      <c r="P966" t="s">
        <v>1217</v>
      </c>
    </row>
    <row r="967" spans="1:16" x14ac:dyDescent="0.3">
      <c r="A967" t="s">
        <v>17</v>
      </c>
      <c r="B967">
        <v>95966.17</v>
      </c>
      <c r="C967">
        <v>75976.42</v>
      </c>
      <c r="D967" s="1">
        <v>43701</v>
      </c>
      <c r="E967" t="s">
        <v>29</v>
      </c>
      <c r="F967" t="s">
        <v>1126</v>
      </c>
      <c r="G967" t="s">
        <v>19</v>
      </c>
      <c r="H967" t="s">
        <v>20</v>
      </c>
      <c r="I967" t="s">
        <v>27</v>
      </c>
      <c r="J967" t="s">
        <v>1127</v>
      </c>
      <c r="K967">
        <v>19989.75</v>
      </c>
      <c r="L967">
        <v>0.20829996654029201</v>
      </c>
      <c r="M967">
        <v>2019</v>
      </c>
      <c r="N967" t="s">
        <v>1171</v>
      </c>
      <c r="O967">
        <v>8</v>
      </c>
      <c r="P967" t="s">
        <v>1214</v>
      </c>
    </row>
    <row r="968" spans="1:16" x14ac:dyDescent="0.3">
      <c r="A968" t="s">
        <v>17</v>
      </c>
      <c r="B968">
        <v>268779.03000000003</v>
      </c>
      <c r="C968">
        <v>233676.49</v>
      </c>
      <c r="D968" s="1">
        <v>43826</v>
      </c>
      <c r="E968" t="s">
        <v>51</v>
      </c>
      <c r="F968" t="s">
        <v>67</v>
      </c>
      <c r="G968" t="s">
        <v>19</v>
      </c>
      <c r="H968" t="s">
        <v>157</v>
      </c>
      <c r="I968" t="s">
        <v>32</v>
      </c>
      <c r="J968" t="s">
        <v>1128</v>
      </c>
      <c r="K968">
        <v>35102.54</v>
      </c>
      <c r="L968">
        <v>0.13059999509634401</v>
      </c>
      <c r="M968">
        <v>2019</v>
      </c>
      <c r="N968" t="s">
        <v>1182</v>
      </c>
      <c r="O968">
        <v>12</v>
      </c>
      <c r="P968" t="s">
        <v>1217</v>
      </c>
    </row>
    <row r="969" spans="1:16" x14ac:dyDescent="0.3">
      <c r="A969" t="s">
        <v>151</v>
      </c>
      <c r="B969">
        <v>226021.18</v>
      </c>
      <c r="C969">
        <v>180455.31</v>
      </c>
      <c r="D969" s="1">
        <v>43664</v>
      </c>
      <c r="E969" t="s">
        <v>55</v>
      </c>
      <c r="F969" t="s">
        <v>156</v>
      </c>
      <c r="G969" t="s">
        <v>152</v>
      </c>
      <c r="H969" t="s">
        <v>153</v>
      </c>
      <c r="I969" t="s">
        <v>27</v>
      </c>
      <c r="J969" t="s">
        <v>1129</v>
      </c>
      <c r="K969">
        <v>45565.87</v>
      </c>
      <c r="L969">
        <v>0.20160000049552901</v>
      </c>
      <c r="M969">
        <v>2019</v>
      </c>
      <c r="N969" t="s">
        <v>1174</v>
      </c>
      <c r="O969">
        <v>7</v>
      </c>
      <c r="P969" t="s">
        <v>1214</v>
      </c>
    </row>
    <row r="970" spans="1:16" x14ac:dyDescent="0.3">
      <c r="A970" t="s">
        <v>17</v>
      </c>
      <c r="B970">
        <v>48850.38</v>
      </c>
      <c r="C970">
        <v>39788.629999999997</v>
      </c>
      <c r="D970" s="1">
        <v>43555</v>
      </c>
      <c r="E970" t="s">
        <v>23</v>
      </c>
      <c r="F970" t="s">
        <v>102</v>
      </c>
      <c r="G970" t="s">
        <v>19</v>
      </c>
      <c r="H970" t="s">
        <v>31</v>
      </c>
      <c r="I970" t="s">
        <v>27</v>
      </c>
      <c r="J970" t="s">
        <v>1130</v>
      </c>
      <c r="K970">
        <v>9061.75</v>
      </c>
      <c r="L970">
        <v>0.18550009232272099</v>
      </c>
      <c r="M970">
        <v>2019</v>
      </c>
      <c r="N970" t="s">
        <v>1176</v>
      </c>
      <c r="O970">
        <v>3</v>
      </c>
      <c r="P970" t="s">
        <v>1215</v>
      </c>
    </row>
    <row r="971" spans="1:16" x14ac:dyDescent="0.3">
      <c r="A971" t="s">
        <v>10</v>
      </c>
      <c r="B971">
        <v>19930.04</v>
      </c>
      <c r="C971">
        <v>16543.93</v>
      </c>
      <c r="D971" s="1">
        <v>43711</v>
      </c>
      <c r="E971" t="s">
        <v>51</v>
      </c>
      <c r="F971" t="s">
        <v>56</v>
      </c>
      <c r="G971" t="s">
        <v>13</v>
      </c>
      <c r="H971" t="s">
        <v>81</v>
      </c>
      <c r="I971" t="s">
        <v>15</v>
      </c>
      <c r="J971" t="s">
        <v>1131</v>
      </c>
      <c r="K971">
        <v>3386.11</v>
      </c>
      <c r="L971">
        <v>0.169899809533749</v>
      </c>
      <c r="M971">
        <v>2019</v>
      </c>
      <c r="N971" t="s">
        <v>1175</v>
      </c>
      <c r="O971">
        <v>9</v>
      </c>
      <c r="P971" t="s">
        <v>1216</v>
      </c>
    </row>
    <row r="972" spans="1:16" x14ac:dyDescent="0.3">
      <c r="A972" t="s">
        <v>17</v>
      </c>
      <c r="B972">
        <v>40043.11</v>
      </c>
      <c r="C972">
        <v>35109.800000000003</v>
      </c>
      <c r="D972" s="1">
        <v>44021</v>
      </c>
      <c r="E972" t="s">
        <v>23</v>
      </c>
      <c r="F972" t="s">
        <v>164</v>
      </c>
      <c r="G972" t="s">
        <v>19</v>
      </c>
      <c r="H972" t="s">
        <v>157</v>
      </c>
      <c r="I972" t="s">
        <v>27</v>
      </c>
      <c r="J972" t="s">
        <v>1132</v>
      </c>
      <c r="K972">
        <v>4933.3100000000004</v>
      </c>
      <c r="L972">
        <v>0.123199971231006</v>
      </c>
      <c r="M972">
        <v>2020</v>
      </c>
      <c r="N972" t="s">
        <v>1174</v>
      </c>
      <c r="O972">
        <v>7</v>
      </c>
      <c r="P972" t="s">
        <v>1214</v>
      </c>
    </row>
    <row r="973" spans="1:16" x14ac:dyDescent="0.3">
      <c r="A973" t="s">
        <v>216</v>
      </c>
      <c r="B973">
        <v>144228.628</v>
      </c>
      <c r="C973">
        <v>14102.75</v>
      </c>
      <c r="D973" s="1">
        <v>44014</v>
      </c>
      <c r="E973" t="s">
        <v>40</v>
      </c>
      <c r="F973" t="s">
        <v>56</v>
      </c>
      <c r="G973" t="s">
        <v>217</v>
      </c>
      <c r="H973" t="s">
        <v>218</v>
      </c>
      <c r="I973" t="s">
        <v>27</v>
      </c>
      <c r="J973" t="s">
        <v>1133</v>
      </c>
      <c r="K973">
        <v>130125.878</v>
      </c>
      <c r="L973">
        <v>0.902219481696796</v>
      </c>
      <c r="M973">
        <v>2020</v>
      </c>
      <c r="N973" t="s">
        <v>1174</v>
      </c>
      <c r="O973">
        <v>7</v>
      </c>
      <c r="P973" t="s">
        <v>1214</v>
      </c>
    </row>
    <row r="974" spans="1:16" x14ac:dyDescent="0.3">
      <c r="A974" t="s">
        <v>54</v>
      </c>
      <c r="B974">
        <v>86669.23</v>
      </c>
      <c r="C974">
        <v>71580.12</v>
      </c>
      <c r="D974" s="1">
        <v>43908</v>
      </c>
      <c r="E974" t="s">
        <v>23</v>
      </c>
      <c r="F974" t="s">
        <v>106</v>
      </c>
      <c r="G974" t="s">
        <v>57</v>
      </c>
      <c r="H974" t="s">
        <v>58</v>
      </c>
      <c r="I974" t="s">
        <v>27</v>
      </c>
      <c r="J974" t="s">
        <v>1134</v>
      </c>
      <c r="K974">
        <v>15089.11</v>
      </c>
      <c r="L974">
        <v>0.17409996604331199</v>
      </c>
      <c r="M974">
        <v>2020</v>
      </c>
      <c r="N974" t="s">
        <v>1176</v>
      </c>
      <c r="O974">
        <v>3</v>
      </c>
      <c r="P974" t="s">
        <v>1215</v>
      </c>
    </row>
    <row r="975" spans="1:16" x14ac:dyDescent="0.3">
      <c r="A975" t="s">
        <v>122</v>
      </c>
      <c r="B975">
        <v>98289.32</v>
      </c>
      <c r="C975">
        <v>84116</v>
      </c>
      <c r="D975" s="1">
        <v>43511</v>
      </c>
      <c r="E975" t="s">
        <v>23</v>
      </c>
      <c r="F975" t="s">
        <v>300</v>
      </c>
      <c r="G975" t="s">
        <v>123</v>
      </c>
      <c r="H975" t="s">
        <v>254</v>
      </c>
      <c r="I975" t="s">
        <v>1183</v>
      </c>
      <c r="J975" t="s">
        <v>1135</v>
      </c>
      <c r="K975">
        <v>14173.32</v>
      </c>
      <c r="L975">
        <v>0.14420000056974699</v>
      </c>
      <c r="M975">
        <v>2019</v>
      </c>
      <c r="N975" t="s">
        <v>1181</v>
      </c>
      <c r="O975">
        <v>2</v>
      </c>
      <c r="P975" t="s">
        <v>1217</v>
      </c>
    </row>
    <row r="976" spans="1:16" x14ac:dyDescent="0.3">
      <c r="A976" t="s">
        <v>34</v>
      </c>
      <c r="B976">
        <v>105686.13</v>
      </c>
      <c r="C976">
        <v>86694.33</v>
      </c>
      <c r="D976" s="1">
        <v>43751</v>
      </c>
      <c r="E976" t="s">
        <v>181</v>
      </c>
      <c r="F976" t="s">
        <v>56</v>
      </c>
      <c r="G976" t="s">
        <v>36</v>
      </c>
      <c r="H976" t="s">
        <v>37</v>
      </c>
      <c r="I976" t="s">
        <v>27</v>
      </c>
      <c r="J976" t="s">
        <v>1136</v>
      </c>
      <c r="K976">
        <v>18991.8</v>
      </c>
      <c r="L976">
        <v>0.179700023077768</v>
      </c>
      <c r="M976">
        <v>2019</v>
      </c>
      <c r="N976" t="s">
        <v>1178</v>
      </c>
      <c r="O976">
        <v>10</v>
      </c>
      <c r="P976" t="s">
        <v>1216</v>
      </c>
    </row>
    <row r="977" spans="1:16" x14ac:dyDescent="0.3">
      <c r="A977" t="s">
        <v>122</v>
      </c>
      <c r="B977">
        <v>126582.5</v>
      </c>
      <c r="C977">
        <v>103683.73</v>
      </c>
      <c r="D977" s="1">
        <v>43878</v>
      </c>
      <c r="E977" t="s">
        <v>76</v>
      </c>
      <c r="F977" t="s">
        <v>149</v>
      </c>
      <c r="G977" t="s">
        <v>123</v>
      </c>
      <c r="H977" t="s">
        <v>124</v>
      </c>
      <c r="I977" t="s">
        <v>27</v>
      </c>
      <c r="J977" t="s">
        <v>1137</v>
      </c>
      <c r="K977">
        <v>22898.77</v>
      </c>
      <c r="L977">
        <v>0.18089996642505901</v>
      </c>
      <c r="M977">
        <v>2020</v>
      </c>
      <c r="N977" t="s">
        <v>1181</v>
      </c>
      <c r="O977">
        <v>2</v>
      </c>
      <c r="P977" t="s">
        <v>1217</v>
      </c>
    </row>
    <row r="978" spans="1:16" x14ac:dyDescent="0.3">
      <c r="A978" t="s">
        <v>17</v>
      </c>
      <c r="B978">
        <v>53089.52</v>
      </c>
      <c r="C978">
        <v>44812.86</v>
      </c>
      <c r="D978" s="1">
        <v>43701</v>
      </c>
      <c r="E978" t="s">
        <v>76</v>
      </c>
      <c r="F978" t="s">
        <v>272</v>
      </c>
      <c r="G978" t="s">
        <v>19</v>
      </c>
      <c r="H978" t="s">
        <v>31</v>
      </c>
      <c r="I978" t="s">
        <v>27</v>
      </c>
      <c r="J978" t="s">
        <v>1138</v>
      </c>
      <c r="K978">
        <v>8276.66</v>
      </c>
      <c r="L978">
        <v>0.15590007217997101</v>
      </c>
      <c r="M978">
        <v>2019</v>
      </c>
      <c r="N978" t="s">
        <v>1171</v>
      </c>
      <c r="O978">
        <v>8</v>
      </c>
      <c r="P978" t="s">
        <v>1214</v>
      </c>
    </row>
    <row r="979" spans="1:16" x14ac:dyDescent="0.3">
      <c r="A979" t="s">
        <v>10</v>
      </c>
      <c r="B979">
        <v>72885.55</v>
      </c>
      <c r="C979">
        <v>59773.440000000002</v>
      </c>
      <c r="D979" s="1">
        <v>44194</v>
      </c>
      <c r="E979" t="s">
        <v>40</v>
      </c>
      <c r="F979" t="s">
        <v>56</v>
      </c>
      <c r="G979" t="s">
        <v>13</v>
      </c>
      <c r="H979" t="s">
        <v>81</v>
      </c>
      <c r="I979" t="s">
        <v>27</v>
      </c>
      <c r="J979" t="s">
        <v>1139</v>
      </c>
      <c r="K979">
        <v>13112.11</v>
      </c>
      <c r="L979">
        <v>0.17989999389453701</v>
      </c>
      <c r="M979">
        <v>2020</v>
      </c>
      <c r="N979" t="s">
        <v>1182</v>
      </c>
      <c r="O979">
        <v>12</v>
      </c>
      <c r="P979" t="s">
        <v>1217</v>
      </c>
    </row>
    <row r="980" spans="1:16" x14ac:dyDescent="0.3">
      <c r="A980" t="s">
        <v>22</v>
      </c>
      <c r="B980">
        <v>162246.76</v>
      </c>
      <c r="C980">
        <v>142663.57999999999</v>
      </c>
      <c r="D980" s="1">
        <v>43705</v>
      </c>
      <c r="E980" t="s">
        <v>11</v>
      </c>
      <c r="F980" t="s">
        <v>106</v>
      </c>
      <c r="G980" t="s">
        <v>25</v>
      </c>
      <c r="H980" t="s">
        <v>26</v>
      </c>
      <c r="I980" t="s">
        <v>27</v>
      </c>
      <c r="J980" t="s">
        <v>1140</v>
      </c>
      <c r="K980">
        <v>19583.18</v>
      </c>
      <c r="L980">
        <v>0.12069997576531</v>
      </c>
      <c r="M980">
        <v>2019</v>
      </c>
      <c r="N980" t="s">
        <v>1171</v>
      </c>
      <c r="O980">
        <v>8</v>
      </c>
      <c r="P980" t="s">
        <v>1214</v>
      </c>
    </row>
    <row r="981" spans="1:16" x14ac:dyDescent="0.3">
      <c r="A981" t="s">
        <v>22</v>
      </c>
      <c r="B981">
        <v>126346.44</v>
      </c>
      <c r="C981">
        <v>103970.49</v>
      </c>
      <c r="D981" s="1">
        <v>43681</v>
      </c>
      <c r="E981" t="s">
        <v>51</v>
      </c>
      <c r="F981" t="s">
        <v>56</v>
      </c>
      <c r="G981" t="s">
        <v>25</v>
      </c>
      <c r="H981" t="s">
        <v>26</v>
      </c>
      <c r="I981" t="s">
        <v>27</v>
      </c>
      <c r="J981" t="s">
        <v>1141</v>
      </c>
      <c r="K981">
        <v>22375.95</v>
      </c>
      <c r="L981">
        <v>0.17709996419368801</v>
      </c>
      <c r="M981">
        <v>2019</v>
      </c>
      <c r="N981" t="s">
        <v>1171</v>
      </c>
      <c r="O981">
        <v>8</v>
      </c>
      <c r="P981" t="s">
        <v>1214</v>
      </c>
    </row>
    <row r="982" spans="1:16" x14ac:dyDescent="0.3">
      <c r="A982" t="s">
        <v>169</v>
      </c>
      <c r="B982">
        <v>248261.86</v>
      </c>
      <c r="C982">
        <v>206727.65</v>
      </c>
      <c r="D982" s="1">
        <v>43821</v>
      </c>
      <c r="E982" t="s">
        <v>51</v>
      </c>
      <c r="F982" t="s">
        <v>396</v>
      </c>
      <c r="G982" t="s">
        <v>171</v>
      </c>
      <c r="H982" t="s">
        <v>172</v>
      </c>
      <c r="I982" t="s">
        <v>27</v>
      </c>
      <c r="J982" t="s">
        <v>1142</v>
      </c>
      <c r="K982">
        <v>41534.21</v>
      </c>
      <c r="L982">
        <v>0.16730000331101999</v>
      </c>
      <c r="M982">
        <v>2019</v>
      </c>
      <c r="N982" t="s">
        <v>1182</v>
      </c>
      <c r="O982">
        <v>12</v>
      </c>
      <c r="P982" t="s">
        <v>1217</v>
      </c>
    </row>
    <row r="983" spans="1:16" x14ac:dyDescent="0.3">
      <c r="A983" t="s">
        <v>151</v>
      </c>
      <c r="B983">
        <v>63373.72</v>
      </c>
      <c r="C983">
        <v>55572.41</v>
      </c>
      <c r="D983" s="1">
        <v>43893</v>
      </c>
      <c r="E983" t="s">
        <v>40</v>
      </c>
      <c r="F983" t="s">
        <v>92</v>
      </c>
      <c r="G983" t="s">
        <v>152</v>
      </c>
      <c r="H983" t="s">
        <v>197</v>
      </c>
      <c r="I983" t="s">
        <v>27</v>
      </c>
      <c r="J983" t="s">
        <v>1143</v>
      </c>
      <c r="K983">
        <v>7801.31</v>
      </c>
      <c r="L983">
        <v>0.12310007997005699</v>
      </c>
      <c r="M983">
        <v>2020</v>
      </c>
      <c r="N983" t="s">
        <v>1176</v>
      </c>
      <c r="O983">
        <v>3</v>
      </c>
      <c r="P983" t="s">
        <v>1215</v>
      </c>
    </row>
    <row r="984" spans="1:16" x14ac:dyDescent="0.3">
      <c r="A984" t="s">
        <v>143</v>
      </c>
      <c r="B984">
        <v>85927.37</v>
      </c>
      <c r="C984">
        <v>74490.44</v>
      </c>
      <c r="D984" s="1">
        <v>43570</v>
      </c>
      <c r="E984" t="s">
        <v>40</v>
      </c>
      <c r="F984" t="s">
        <v>302</v>
      </c>
      <c r="G984" t="s">
        <v>145</v>
      </c>
      <c r="H984" t="s">
        <v>146</v>
      </c>
      <c r="I984" t="s">
        <v>27</v>
      </c>
      <c r="J984" t="s">
        <v>1144</v>
      </c>
      <c r="K984">
        <v>11436.93</v>
      </c>
      <c r="L984">
        <v>0.133099965703594</v>
      </c>
      <c r="M984">
        <v>2019</v>
      </c>
      <c r="N984" t="s">
        <v>1172</v>
      </c>
      <c r="O984">
        <v>4</v>
      </c>
      <c r="P984" t="s">
        <v>1215</v>
      </c>
    </row>
    <row r="985" spans="1:16" x14ac:dyDescent="0.3">
      <c r="A985" t="s">
        <v>22</v>
      </c>
      <c r="B985">
        <v>115718.87</v>
      </c>
      <c r="C985">
        <v>100640.7</v>
      </c>
      <c r="D985" s="1">
        <v>43579</v>
      </c>
      <c r="E985" t="s">
        <v>29</v>
      </c>
      <c r="F985" t="s">
        <v>256</v>
      </c>
      <c r="G985" t="s">
        <v>25</v>
      </c>
      <c r="H985" t="s">
        <v>52</v>
      </c>
      <c r="I985" t="s">
        <v>27</v>
      </c>
      <c r="J985" t="s">
        <v>1145</v>
      </c>
      <c r="K985">
        <v>15078.17</v>
      </c>
      <c r="L985">
        <v>0.13030001070698299</v>
      </c>
      <c r="M985">
        <v>2019</v>
      </c>
      <c r="N985" t="s">
        <v>1172</v>
      </c>
      <c r="O985">
        <v>4</v>
      </c>
      <c r="P985" t="s">
        <v>1215</v>
      </c>
    </row>
    <row r="986" spans="1:16" x14ac:dyDescent="0.3">
      <c r="A986" t="s">
        <v>22</v>
      </c>
      <c r="B986">
        <v>87409.49</v>
      </c>
      <c r="C986">
        <v>70548.2</v>
      </c>
      <c r="D986" s="1">
        <v>44164</v>
      </c>
      <c r="E986" t="s">
        <v>11</v>
      </c>
      <c r="F986" t="s">
        <v>106</v>
      </c>
      <c r="G986" t="s">
        <v>25</v>
      </c>
      <c r="H986" t="s">
        <v>87</v>
      </c>
      <c r="I986" t="s">
        <v>27</v>
      </c>
      <c r="J986" t="s">
        <v>1146</v>
      </c>
      <c r="K986">
        <v>16861.29</v>
      </c>
      <c r="L986">
        <v>0.19289999289550799</v>
      </c>
      <c r="M986">
        <v>2020</v>
      </c>
      <c r="N986" t="s">
        <v>1180</v>
      </c>
      <c r="O986">
        <v>11</v>
      </c>
      <c r="P986" t="s">
        <v>1216</v>
      </c>
    </row>
    <row r="987" spans="1:16" x14ac:dyDescent="0.3">
      <c r="A987" t="s">
        <v>216</v>
      </c>
      <c r="B987">
        <v>253291.55</v>
      </c>
      <c r="C987">
        <v>219502.46</v>
      </c>
      <c r="D987" s="1">
        <v>44171</v>
      </c>
      <c r="E987" t="s">
        <v>91</v>
      </c>
      <c r="F987" t="s">
        <v>97</v>
      </c>
      <c r="G987" t="s">
        <v>217</v>
      </c>
      <c r="H987" t="s">
        <v>218</v>
      </c>
      <c r="I987" t="s">
        <v>27</v>
      </c>
      <c r="J987" t="s">
        <v>1147</v>
      </c>
      <c r="K987">
        <v>33789.089999999997</v>
      </c>
      <c r="L987">
        <v>0.13339998906398601</v>
      </c>
      <c r="M987">
        <v>2020</v>
      </c>
      <c r="N987" t="s">
        <v>1182</v>
      </c>
      <c r="O987">
        <v>12</v>
      </c>
      <c r="P987" t="s">
        <v>1217</v>
      </c>
    </row>
    <row r="988" spans="1:16" x14ac:dyDescent="0.3">
      <c r="A988" t="s">
        <v>34</v>
      </c>
      <c r="B988">
        <v>383996.76</v>
      </c>
      <c r="C988">
        <v>304701.43</v>
      </c>
      <c r="D988" s="1">
        <v>43818</v>
      </c>
      <c r="E988" t="s">
        <v>99</v>
      </c>
      <c r="F988" t="s">
        <v>56</v>
      </c>
      <c r="G988" t="s">
        <v>36</v>
      </c>
      <c r="H988" t="s">
        <v>104</v>
      </c>
      <c r="I988" t="s">
        <v>27</v>
      </c>
      <c r="J988" t="s">
        <v>1148</v>
      </c>
      <c r="K988">
        <v>79295.33</v>
      </c>
      <c r="L988">
        <v>0.206499997552063</v>
      </c>
      <c r="M988">
        <v>2019</v>
      </c>
      <c r="N988" t="s">
        <v>1182</v>
      </c>
      <c r="O988">
        <v>12</v>
      </c>
      <c r="P988" t="s">
        <v>1217</v>
      </c>
    </row>
    <row r="989" spans="1:16" x14ac:dyDescent="0.3">
      <c r="A989" t="s">
        <v>129</v>
      </c>
      <c r="B989">
        <v>53616.06</v>
      </c>
      <c r="C989">
        <v>45589.74</v>
      </c>
      <c r="D989" s="1">
        <v>43891</v>
      </c>
      <c r="E989" t="s">
        <v>23</v>
      </c>
      <c r="F989" t="s">
        <v>80</v>
      </c>
      <c r="G989" t="s">
        <v>130</v>
      </c>
      <c r="H989" t="s">
        <v>159</v>
      </c>
      <c r="I989" t="s">
        <v>27</v>
      </c>
      <c r="J989" t="s">
        <v>1149</v>
      </c>
      <c r="K989">
        <v>8026.32</v>
      </c>
      <c r="L989">
        <v>0.149699922000983</v>
      </c>
      <c r="M989">
        <v>2020</v>
      </c>
      <c r="N989" t="s">
        <v>1176</v>
      </c>
      <c r="O989">
        <v>3</v>
      </c>
      <c r="P989" t="s">
        <v>1215</v>
      </c>
    </row>
    <row r="990" spans="1:16" x14ac:dyDescent="0.3">
      <c r="A990" t="s">
        <v>10</v>
      </c>
      <c r="B990">
        <v>176473.32</v>
      </c>
      <c r="C990">
        <v>139413.92000000001</v>
      </c>
      <c r="D990" s="1">
        <v>43638</v>
      </c>
      <c r="E990" t="s">
        <v>11</v>
      </c>
      <c r="F990" t="s">
        <v>18</v>
      </c>
      <c r="G990" t="s">
        <v>13</v>
      </c>
      <c r="H990" t="s">
        <v>81</v>
      </c>
      <c r="I990" t="s">
        <v>27</v>
      </c>
      <c r="J990" t="s">
        <v>1150</v>
      </c>
      <c r="K990">
        <v>37059.4</v>
      </c>
      <c r="L990">
        <v>0.210000015866421</v>
      </c>
      <c r="M990">
        <v>2019</v>
      </c>
      <c r="N990" t="s">
        <v>1179</v>
      </c>
      <c r="O990">
        <v>6</v>
      </c>
      <c r="P990" t="s">
        <v>1214</v>
      </c>
    </row>
    <row r="991" spans="1:16" x14ac:dyDescent="0.3">
      <c r="A991" t="s">
        <v>34</v>
      </c>
      <c r="B991">
        <v>29493.79</v>
      </c>
      <c r="C991">
        <v>24285.19</v>
      </c>
      <c r="D991" s="1">
        <v>43791</v>
      </c>
      <c r="E991" t="s">
        <v>11</v>
      </c>
      <c r="F991" t="s">
        <v>133</v>
      </c>
      <c r="G991" t="s">
        <v>36</v>
      </c>
      <c r="H991" t="s">
        <v>93</v>
      </c>
      <c r="I991" t="s">
        <v>1183</v>
      </c>
      <c r="J991" t="s">
        <v>1151</v>
      </c>
      <c r="K991">
        <v>5208.6000000000004</v>
      </c>
      <c r="L991">
        <v>0.17659988763736401</v>
      </c>
      <c r="M991">
        <v>2019</v>
      </c>
      <c r="N991" t="s">
        <v>1180</v>
      </c>
      <c r="O991">
        <v>11</v>
      </c>
      <c r="P991" t="s">
        <v>1216</v>
      </c>
    </row>
    <row r="992" spans="1:16" x14ac:dyDescent="0.3">
      <c r="A992" t="s">
        <v>22</v>
      </c>
      <c r="B992">
        <v>52209.31</v>
      </c>
      <c r="C992">
        <v>41480.300000000003</v>
      </c>
      <c r="D992" s="1">
        <v>43550</v>
      </c>
      <c r="E992" t="s">
        <v>76</v>
      </c>
      <c r="F992" t="s">
        <v>367</v>
      </c>
      <c r="G992" t="s">
        <v>25</v>
      </c>
      <c r="H992" t="s">
        <v>26</v>
      </c>
      <c r="I992" t="s">
        <v>27</v>
      </c>
      <c r="J992" t="s">
        <v>1152</v>
      </c>
      <c r="K992">
        <v>10729.01</v>
      </c>
      <c r="L992">
        <v>0.205499938612481</v>
      </c>
      <c r="M992">
        <v>2019</v>
      </c>
      <c r="N992" t="s">
        <v>1176</v>
      </c>
      <c r="O992">
        <v>3</v>
      </c>
      <c r="P992" t="s">
        <v>1215</v>
      </c>
    </row>
    <row r="993" spans="1:16" x14ac:dyDescent="0.3">
      <c r="A993" t="s">
        <v>22</v>
      </c>
      <c r="B993">
        <v>125253.59</v>
      </c>
      <c r="C993">
        <v>108269.2</v>
      </c>
      <c r="D993" s="1">
        <v>43878</v>
      </c>
      <c r="E993" t="s">
        <v>51</v>
      </c>
      <c r="F993" t="s">
        <v>300</v>
      </c>
      <c r="G993" t="s">
        <v>25</v>
      </c>
      <c r="H993" t="s">
        <v>26</v>
      </c>
      <c r="I993" t="s">
        <v>27</v>
      </c>
      <c r="J993" t="s">
        <v>1153</v>
      </c>
      <c r="K993">
        <v>16984.39</v>
      </c>
      <c r="L993">
        <v>0.13560002551623501</v>
      </c>
      <c r="M993">
        <v>2020</v>
      </c>
      <c r="N993" t="s">
        <v>1181</v>
      </c>
      <c r="O993">
        <v>2</v>
      </c>
      <c r="P993" t="s">
        <v>1217</v>
      </c>
    </row>
    <row r="994" spans="1:16" x14ac:dyDescent="0.3">
      <c r="A994" t="s">
        <v>17</v>
      </c>
      <c r="B994">
        <v>87404</v>
      </c>
      <c r="C994">
        <v>69363.81</v>
      </c>
      <c r="D994" s="1">
        <v>43825</v>
      </c>
      <c r="E994" t="s">
        <v>29</v>
      </c>
      <c r="F994" t="s">
        <v>56</v>
      </c>
      <c r="G994" t="s">
        <v>19</v>
      </c>
      <c r="H994" t="s">
        <v>78</v>
      </c>
      <c r="I994" t="s">
        <v>27</v>
      </c>
      <c r="J994" t="s">
        <v>1154</v>
      </c>
      <c r="K994">
        <v>18040.189999999999</v>
      </c>
      <c r="L994">
        <v>0.206400050340945</v>
      </c>
      <c r="M994">
        <v>2019</v>
      </c>
      <c r="N994" t="s">
        <v>1182</v>
      </c>
      <c r="O994">
        <v>12</v>
      </c>
      <c r="P994" t="s">
        <v>1217</v>
      </c>
    </row>
    <row r="995" spans="1:16" x14ac:dyDescent="0.3">
      <c r="A995" t="s">
        <v>17</v>
      </c>
      <c r="B995">
        <v>167072.72</v>
      </c>
      <c r="C995">
        <v>135044.88</v>
      </c>
      <c r="D995" s="1">
        <v>43759</v>
      </c>
      <c r="E995" t="s">
        <v>40</v>
      </c>
      <c r="F995" t="s">
        <v>67</v>
      </c>
      <c r="G995" t="s">
        <v>19</v>
      </c>
      <c r="H995" t="s">
        <v>157</v>
      </c>
      <c r="I995" t="s">
        <v>27</v>
      </c>
      <c r="J995" t="s">
        <v>1155</v>
      </c>
      <c r="K995">
        <v>32027.84</v>
      </c>
      <c r="L995">
        <v>0.191699997462183</v>
      </c>
      <c r="M995">
        <v>2019</v>
      </c>
      <c r="N995" t="s">
        <v>1178</v>
      </c>
      <c r="O995">
        <v>10</v>
      </c>
      <c r="P995" t="s">
        <v>1216</v>
      </c>
    </row>
    <row r="996" spans="1:16" x14ac:dyDescent="0.3">
      <c r="A996" t="s">
        <v>17</v>
      </c>
      <c r="B996">
        <v>157932.84</v>
      </c>
      <c r="C996">
        <v>134148.15</v>
      </c>
      <c r="D996" s="1">
        <v>43861</v>
      </c>
      <c r="E996" t="s">
        <v>11</v>
      </c>
      <c r="F996" t="s">
        <v>156</v>
      </c>
      <c r="G996" t="s">
        <v>19</v>
      </c>
      <c r="H996" t="s">
        <v>20</v>
      </c>
      <c r="I996" t="s">
        <v>27</v>
      </c>
      <c r="J996" t="s">
        <v>1156</v>
      </c>
      <c r="K996">
        <v>23784.69</v>
      </c>
      <c r="L996">
        <v>0.150600027201436</v>
      </c>
      <c r="M996">
        <v>2020</v>
      </c>
      <c r="N996" t="s">
        <v>1177</v>
      </c>
      <c r="O996">
        <v>1</v>
      </c>
      <c r="P996" t="s">
        <v>1217</v>
      </c>
    </row>
    <row r="997" spans="1:16" x14ac:dyDescent="0.3">
      <c r="A997" t="s">
        <v>216</v>
      </c>
      <c r="B997">
        <v>95575.75</v>
      </c>
      <c r="C997">
        <v>75504.84</v>
      </c>
      <c r="D997" s="1">
        <v>44188</v>
      </c>
      <c r="E997" t="s">
        <v>91</v>
      </c>
      <c r="F997" t="s">
        <v>106</v>
      </c>
      <c r="G997" t="s">
        <v>217</v>
      </c>
      <c r="H997" t="s">
        <v>218</v>
      </c>
      <c r="I997" t="s">
        <v>27</v>
      </c>
      <c r="J997" t="s">
        <v>1157</v>
      </c>
      <c r="K997">
        <v>20070.91</v>
      </c>
      <c r="L997">
        <v>0.21000002615726299</v>
      </c>
      <c r="M997">
        <v>2020</v>
      </c>
      <c r="N997" t="s">
        <v>1182</v>
      </c>
      <c r="O997">
        <v>12</v>
      </c>
      <c r="P997" t="s">
        <v>1217</v>
      </c>
    </row>
    <row r="998" spans="1:16" x14ac:dyDescent="0.3">
      <c r="A998" t="s">
        <v>17</v>
      </c>
      <c r="B998">
        <v>69126.5</v>
      </c>
      <c r="C998">
        <v>55902.6</v>
      </c>
      <c r="D998" s="1">
        <v>43689</v>
      </c>
      <c r="E998" t="s">
        <v>29</v>
      </c>
      <c r="F998" t="s">
        <v>400</v>
      </c>
      <c r="G998" t="s">
        <v>19</v>
      </c>
      <c r="H998" t="s">
        <v>49</v>
      </c>
      <c r="I998" t="s">
        <v>27</v>
      </c>
      <c r="J998" t="s">
        <v>1158</v>
      </c>
      <c r="K998">
        <v>13223.9</v>
      </c>
      <c r="L998">
        <v>0.19130000795642799</v>
      </c>
      <c r="M998">
        <v>2019</v>
      </c>
      <c r="N998" t="s">
        <v>1171</v>
      </c>
      <c r="O998">
        <v>8</v>
      </c>
      <c r="P998" t="s">
        <v>1214</v>
      </c>
    </row>
    <row r="999" spans="1:16" x14ac:dyDescent="0.3">
      <c r="A999" t="s">
        <v>17</v>
      </c>
      <c r="B999">
        <v>140943.88</v>
      </c>
      <c r="C999">
        <v>120633.87</v>
      </c>
      <c r="D999" s="1">
        <v>43979</v>
      </c>
      <c r="E999" t="s">
        <v>23</v>
      </c>
      <c r="F999" t="s">
        <v>126</v>
      </c>
      <c r="G999" t="s">
        <v>19</v>
      </c>
      <c r="H999" t="s">
        <v>49</v>
      </c>
      <c r="I999" t="s">
        <v>15</v>
      </c>
      <c r="J999" t="s">
        <v>1159</v>
      </c>
      <c r="K999">
        <v>20310.009999999998</v>
      </c>
      <c r="L999">
        <v>0.14409997794866999</v>
      </c>
      <c r="M999">
        <v>2020</v>
      </c>
      <c r="N999" t="s">
        <v>1173</v>
      </c>
      <c r="O999">
        <v>5</v>
      </c>
      <c r="P999" t="s">
        <v>1215</v>
      </c>
    </row>
    <row r="1000" spans="1:16" x14ac:dyDescent="0.3">
      <c r="A1000" t="s">
        <v>17</v>
      </c>
      <c r="B1000">
        <v>124784.67</v>
      </c>
      <c r="C1000">
        <v>106853.11</v>
      </c>
      <c r="D1000" s="1">
        <v>43973</v>
      </c>
      <c r="E1000" t="s">
        <v>29</v>
      </c>
      <c r="F1000" t="s">
        <v>135</v>
      </c>
      <c r="G1000" t="s">
        <v>19</v>
      </c>
      <c r="H1000" t="s">
        <v>157</v>
      </c>
      <c r="I1000" t="s">
        <v>15</v>
      </c>
      <c r="J1000" t="s">
        <v>1160</v>
      </c>
      <c r="K1000">
        <v>17931.560000000001</v>
      </c>
      <c r="L1000">
        <v>0.143700023408324</v>
      </c>
      <c r="M1000">
        <v>2020</v>
      </c>
      <c r="N1000" t="s">
        <v>1173</v>
      </c>
      <c r="O1000">
        <v>5</v>
      </c>
      <c r="P1000" t="s">
        <v>1215</v>
      </c>
    </row>
    <row r="1001" spans="1:16" x14ac:dyDescent="0.3">
      <c r="A1001" t="s">
        <v>54</v>
      </c>
      <c r="B1001">
        <v>61968.26</v>
      </c>
      <c r="C1001">
        <v>50690.04</v>
      </c>
      <c r="D1001" s="1">
        <v>44192</v>
      </c>
      <c r="E1001" t="s">
        <v>29</v>
      </c>
      <c r="F1001" t="s">
        <v>45</v>
      </c>
      <c r="G1001" t="s">
        <v>57</v>
      </c>
      <c r="H1001" t="s">
        <v>58</v>
      </c>
      <c r="I1001" t="s">
        <v>27</v>
      </c>
      <c r="J1001" t="s">
        <v>1161</v>
      </c>
      <c r="K1001">
        <v>11278.22</v>
      </c>
      <c r="L1001">
        <v>0.18199994642418599</v>
      </c>
      <c r="M1001">
        <v>2020</v>
      </c>
      <c r="N1001" t="s">
        <v>1182</v>
      </c>
      <c r="O1001">
        <v>12</v>
      </c>
      <c r="P1001" t="s">
        <v>1217</v>
      </c>
    </row>
    <row r="1002" spans="1:16" x14ac:dyDescent="0.3">
      <c r="A1002" t="s">
        <v>216</v>
      </c>
      <c r="B1002">
        <v>172453.1</v>
      </c>
      <c r="C1002">
        <v>145688.38</v>
      </c>
      <c r="D1002" s="1">
        <v>44006</v>
      </c>
      <c r="E1002" t="s">
        <v>181</v>
      </c>
      <c r="F1002" t="s">
        <v>30</v>
      </c>
      <c r="G1002" t="s">
        <v>217</v>
      </c>
      <c r="H1002" t="s">
        <v>218</v>
      </c>
      <c r="I1002" t="s">
        <v>27</v>
      </c>
      <c r="J1002" t="s">
        <v>1162</v>
      </c>
      <c r="K1002">
        <v>26764.720000000001</v>
      </c>
      <c r="L1002">
        <v>0.155199993505481</v>
      </c>
      <c r="M1002">
        <v>2020</v>
      </c>
      <c r="N1002" t="s">
        <v>1179</v>
      </c>
      <c r="O1002">
        <v>6</v>
      </c>
      <c r="P1002" t="s">
        <v>1214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D6CE-4287-4818-9404-7BD1DEFF0A02}">
  <dimension ref="B3:T133"/>
  <sheetViews>
    <sheetView topLeftCell="C31" workbookViewId="0">
      <selection activeCell="N28" sqref="N28"/>
    </sheetView>
  </sheetViews>
  <sheetFormatPr defaultRowHeight="14.4" x14ac:dyDescent="0.3"/>
  <cols>
    <col min="2" max="2" width="12.44140625" bestFit="1" customWidth="1"/>
    <col min="3" max="4" width="14.109375" bestFit="1" customWidth="1"/>
    <col min="5" max="5" width="13.109375" bestFit="1" customWidth="1"/>
    <col min="6" max="6" width="11.88671875" bestFit="1" customWidth="1"/>
    <col min="7" max="7" width="14.5546875" bestFit="1" customWidth="1"/>
    <col min="8" max="8" width="13.109375" bestFit="1" customWidth="1"/>
    <col min="9" max="9" width="12.44140625" bestFit="1" customWidth="1"/>
    <col min="10" max="10" width="14.5546875" bestFit="1" customWidth="1"/>
    <col min="11" max="12" width="13.109375" bestFit="1" customWidth="1"/>
    <col min="13" max="13" width="10.88671875" bestFit="1" customWidth="1"/>
    <col min="14" max="14" width="14.109375" bestFit="1" customWidth="1"/>
    <col min="15" max="15" width="13.109375" bestFit="1" customWidth="1"/>
    <col min="16" max="16" width="11.88671875" bestFit="1" customWidth="1"/>
    <col min="17" max="17" width="14.5546875" bestFit="1" customWidth="1"/>
    <col min="18" max="18" width="15.109375" bestFit="1" customWidth="1"/>
    <col min="19" max="19" width="10.88671875" bestFit="1" customWidth="1"/>
    <col min="20" max="20" width="13.109375" bestFit="1" customWidth="1"/>
    <col min="21" max="28" width="12" bestFit="1" customWidth="1"/>
    <col min="29" max="29" width="11.44140625" bestFit="1" customWidth="1"/>
    <col min="30" max="31" width="13.109375" bestFit="1" customWidth="1"/>
    <col min="32" max="42" width="7.109375" bestFit="1" customWidth="1"/>
    <col min="43" max="43" width="11.88671875" bestFit="1" customWidth="1"/>
    <col min="44" max="45" width="4.109375" bestFit="1" customWidth="1"/>
    <col min="46" max="46" width="3.88671875" bestFit="1" customWidth="1"/>
    <col min="47" max="47" width="4.33203125" bestFit="1" customWidth="1"/>
    <col min="48" max="48" width="3.6640625" bestFit="1" customWidth="1"/>
    <col min="49" max="49" width="3.21875" bestFit="1" customWidth="1"/>
    <col min="50" max="50" width="4" bestFit="1" customWidth="1"/>
    <col min="51" max="51" width="4.21875" bestFit="1" customWidth="1"/>
    <col min="52" max="52" width="4" bestFit="1" customWidth="1"/>
    <col min="53" max="54" width="4.21875" bestFit="1" customWidth="1"/>
    <col min="55" max="55" width="14.5546875" bestFit="1" customWidth="1"/>
    <col min="56" max="57" width="4.109375" bestFit="1" customWidth="1"/>
    <col min="58" max="58" width="3.88671875" bestFit="1" customWidth="1"/>
    <col min="59" max="59" width="4.33203125" bestFit="1" customWidth="1"/>
    <col min="60" max="60" width="3.6640625" bestFit="1" customWidth="1"/>
    <col min="61" max="61" width="3.21875" bestFit="1" customWidth="1"/>
    <col min="62" max="62" width="4" bestFit="1" customWidth="1"/>
    <col min="63" max="63" width="4.21875" bestFit="1" customWidth="1"/>
    <col min="64" max="64" width="4" bestFit="1" customWidth="1"/>
    <col min="65" max="66" width="4.21875" bestFit="1" customWidth="1"/>
    <col min="67" max="76" width="11.44140625" bestFit="1" customWidth="1"/>
    <col min="77" max="77" width="10.44140625" bestFit="1" customWidth="1"/>
    <col min="78" max="80" width="11.44140625" bestFit="1" customWidth="1"/>
    <col min="81" max="84" width="10.44140625" bestFit="1" customWidth="1"/>
    <col min="85" max="90" width="11.44140625" bestFit="1" customWidth="1"/>
    <col min="91" max="92" width="10.44140625" bestFit="1" customWidth="1"/>
    <col min="93" max="93" width="11.44140625" bestFit="1" customWidth="1"/>
    <col min="94" max="94" width="10.44140625" bestFit="1" customWidth="1"/>
    <col min="95" max="95" width="11.44140625" bestFit="1" customWidth="1"/>
    <col min="96" max="98" width="10.44140625" bestFit="1" customWidth="1"/>
    <col min="99" max="103" width="11.44140625" bestFit="1" customWidth="1"/>
    <col min="104" max="107" width="10.44140625" bestFit="1" customWidth="1"/>
    <col min="108" max="108" width="11.44140625" bestFit="1" customWidth="1"/>
    <col min="109" max="113" width="10.44140625" bestFit="1" customWidth="1"/>
    <col min="114" max="120" width="11.44140625" bestFit="1" customWidth="1"/>
    <col min="121" max="122" width="10.44140625" bestFit="1" customWidth="1"/>
    <col min="123" max="125" width="11.44140625" bestFit="1" customWidth="1"/>
    <col min="126" max="126" width="10.44140625" bestFit="1" customWidth="1"/>
    <col min="127" max="127" width="11.44140625" bestFit="1" customWidth="1"/>
    <col min="128" max="131" width="10.44140625" bestFit="1" customWidth="1"/>
    <col min="132" max="132" width="11.44140625" bestFit="1" customWidth="1"/>
    <col min="133" max="135" width="10.44140625" bestFit="1" customWidth="1"/>
    <col min="136" max="136" width="11.44140625" bestFit="1" customWidth="1"/>
    <col min="137" max="137" width="10.44140625" bestFit="1" customWidth="1"/>
    <col min="138" max="143" width="11.44140625" bestFit="1" customWidth="1"/>
    <col min="144" max="144" width="10.44140625" bestFit="1" customWidth="1"/>
    <col min="145" max="154" width="11.44140625" bestFit="1" customWidth="1"/>
    <col min="155" max="155" width="10.44140625" bestFit="1" customWidth="1"/>
    <col min="156" max="158" width="11.44140625" bestFit="1" customWidth="1"/>
    <col min="159" max="159" width="10.44140625" bestFit="1" customWidth="1"/>
    <col min="160" max="165" width="11.44140625" bestFit="1" customWidth="1"/>
    <col min="166" max="166" width="10.44140625" bestFit="1" customWidth="1"/>
    <col min="167" max="172" width="11.44140625" bestFit="1" customWidth="1"/>
    <col min="173" max="173" width="10.44140625" bestFit="1" customWidth="1"/>
    <col min="174" max="176" width="11.44140625" bestFit="1" customWidth="1"/>
    <col min="177" max="177" width="10.44140625" bestFit="1" customWidth="1"/>
    <col min="178" max="183" width="11.44140625" bestFit="1" customWidth="1"/>
    <col min="184" max="184" width="10.44140625" bestFit="1" customWidth="1"/>
    <col min="185" max="185" width="11.44140625" bestFit="1" customWidth="1"/>
    <col min="186" max="186" width="10.44140625" bestFit="1" customWidth="1"/>
    <col min="187" max="189" width="11.44140625" bestFit="1" customWidth="1"/>
    <col min="190" max="191" width="10.44140625" bestFit="1" customWidth="1"/>
    <col min="192" max="193" width="11.44140625" bestFit="1" customWidth="1"/>
    <col min="194" max="194" width="10.44140625" bestFit="1" customWidth="1"/>
    <col min="195" max="195" width="11.44140625" bestFit="1" customWidth="1"/>
    <col min="196" max="197" width="10.44140625" bestFit="1" customWidth="1"/>
    <col min="198" max="200" width="11.44140625" bestFit="1" customWidth="1"/>
    <col min="201" max="201" width="10.44140625" bestFit="1" customWidth="1"/>
    <col min="202" max="219" width="11.44140625" bestFit="1" customWidth="1"/>
    <col min="220" max="220" width="10.44140625" bestFit="1" customWidth="1"/>
    <col min="221" max="222" width="11.44140625" bestFit="1" customWidth="1"/>
    <col min="223" max="223" width="10.44140625" bestFit="1" customWidth="1"/>
    <col min="224" max="245" width="11.44140625" bestFit="1" customWidth="1"/>
    <col min="246" max="246" width="10.44140625" bestFit="1" customWidth="1"/>
    <col min="247" max="248" width="11.44140625" bestFit="1" customWidth="1"/>
    <col min="249" max="249" width="10.44140625" bestFit="1" customWidth="1"/>
    <col min="250" max="254" width="11.44140625" bestFit="1" customWidth="1"/>
    <col min="255" max="255" width="10.44140625" bestFit="1" customWidth="1"/>
    <col min="256" max="267" width="11.44140625" bestFit="1" customWidth="1"/>
    <col min="268" max="268" width="10.44140625" bestFit="1" customWidth="1"/>
    <col min="269" max="275" width="11.44140625" bestFit="1" customWidth="1"/>
    <col min="276" max="276" width="10.44140625" bestFit="1" customWidth="1"/>
    <col min="277" max="283" width="11.44140625" bestFit="1" customWidth="1"/>
    <col min="284" max="284" width="10.44140625" bestFit="1" customWidth="1"/>
    <col min="285" max="286" width="11.44140625" bestFit="1" customWidth="1"/>
    <col min="287" max="287" width="10.44140625" bestFit="1" customWidth="1"/>
    <col min="288" max="294" width="11.44140625" bestFit="1" customWidth="1"/>
    <col min="295" max="295" width="10.44140625" bestFit="1" customWidth="1"/>
    <col min="296" max="296" width="11.44140625" bestFit="1" customWidth="1"/>
    <col min="297" max="297" width="10.44140625" bestFit="1" customWidth="1"/>
    <col min="298" max="303" width="11.44140625" bestFit="1" customWidth="1"/>
    <col min="304" max="304" width="10.44140625" bestFit="1" customWidth="1"/>
    <col min="305" max="305" width="11.44140625" bestFit="1" customWidth="1"/>
    <col min="306" max="306" width="10.44140625" bestFit="1" customWidth="1"/>
    <col min="307" max="308" width="11.44140625" bestFit="1" customWidth="1"/>
    <col min="309" max="309" width="10.44140625" bestFit="1" customWidth="1"/>
    <col min="310" max="314" width="11.44140625" bestFit="1" customWidth="1"/>
    <col min="315" max="316" width="10.44140625" bestFit="1" customWidth="1"/>
    <col min="317" max="319" width="11.44140625" bestFit="1" customWidth="1"/>
    <col min="320" max="320" width="10.44140625" bestFit="1" customWidth="1"/>
    <col min="321" max="340" width="11.44140625" bestFit="1" customWidth="1"/>
    <col min="341" max="341" width="10.44140625" bestFit="1" customWidth="1"/>
    <col min="342" max="342" width="11.44140625" bestFit="1" customWidth="1"/>
    <col min="343" max="343" width="10.44140625" bestFit="1" customWidth="1"/>
    <col min="344" max="348" width="11.44140625" bestFit="1" customWidth="1"/>
    <col min="349" max="349" width="10.44140625" bestFit="1" customWidth="1"/>
    <col min="350" max="350" width="11.44140625" bestFit="1" customWidth="1"/>
    <col min="351" max="352" width="10.44140625" bestFit="1" customWidth="1"/>
    <col min="353" max="353" width="11.44140625" bestFit="1" customWidth="1"/>
    <col min="354" max="354" width="10.44140625" bestFit="1" customWidth="1"/>
    <col min="355" max="355" width="11.44140625" bestFit="1" customWidth="1"/>
    <col min="356" max="356" width="10.44140625" bestFit="1" customWidth="1"/>
    <col min="357" max="364" width="11.44140625" bestFit="1" customWidth="1"/>
    <col min="365" max="365" width="10.44140625" bestFit="1" customWidth="1"/>
    <col min="366" max="369" width="11.44140625" bestFit="1" customWidth="1"/>
    <col min="370" max="371" width="10.44140625" bestFit="1" customWidth="1"/>
    <col min="372" max="376" width="11.44140625" bestFit="1" customWidth="1"/>
    <col min="377" max="377" width="10.44140625" bestFit="1" customWidth="1"/>
    <col min="378" max="379" width="11.44140625" bestFit="1" customWidth="1"/>
    <col min="380" max="380" width="10.44140625" bestFit="1" customWidth="1"/>
    <col min="381" max="391" width="11.44140625" bestFit="1" customWidth="1"/>
    <col min="392" max="392" width="10.44140625" bestFit="1" customWidth="1"/>
    <col min="393" max="393" width="11.44140625" bestFit="1" customWidth="1"/>
    <col min="394" max="394" width="10.44140625" bestFit="1" customWidth="1"/>
    <col min="395" max="397" width="11.44140625" bestFit="1" customWidth="1"/>
    <col min="398" max="398" width="10.44140625" bestFit="1" customWidth="1"/>
    <col min="399" max="403" width="11.44140625" bestFit="1" customWidth="1"/>
    <col min="404" max="405" width="10.44140625" bestFit="1" customWidth="1"/>
    <col min="406" max="410" width="11.44140625" bestFit="1" customWidth="1"/>
    <col min="411" max="411" width="10.44140625" bestFit="1" customWidth="1"/>
    <col min="412" max="412" width="11.44140625" bestFit="1" customWidth="1"/>
    <col min="413" max="413" width="10.44140625" bestFit="1" customWidth="1"/>
    <col min="414" max="415" width="11.44140625" bestFit="1" customWidth="1"/>
    <col min="416" max="416" width="10.44140625" bestFit="1" customWidth="1"/>
    <col min="417" max="426" width="11.44140625" bestFit="1" customWidth="1"/>
    <col min="427" max="427" width="10.44140625" bestFit="1" customWidth="1"/>
    <col min="428" max="428" width="11.44140625" bestFit="1" customWidth="1"/>
    <col min="429" max="429" width="10.44140625" bestFit="1" customWidth="1"/>
    <col min="430" max="431" width="11.44140625" bestFit="1" customWidth="1"/>
    <col min="432" max="432" width="10.44140625" bestFit="1" customWidth="1"/>
    <col min="433" max="433" width="11.44140625" bestFit="1" customWidth="1"/>
    <col min="434" max="434" width="10.44140625" bestFit="1" customWidth="1"/>
    <col min="435" max="436" width="11.44140625" bestFit="1" customWidth="1"/>
    <col min="437" max="438" width="10.44140625" bestFit="1" customWidth="1"/>
    <col min="439" max="444" width="11.44140625" bestFit="1" customWidth="1"/>
    <col min="445" max="445" width="10.44140625" bestFit="1" customWidth="1"/>
    <col min="446" max="447" width="11.44140625" bestFit="1" customWidth="1"/>
    <col min="448" max="448" width="10.44140625" bestFit="1" customWidth="1"/>
    <col min="449" max="449" width="11.44140625" bestFit="1" customWidth="1"/>
    <col min="450" max="450" width="10.44140625" bestFit="1" customWidth="1"/>
    <col min="451" max="453" width="11.44140625" bestFit="1" customWidth="1"/>
    <col min="454" max="454" width="10.44140625" bestFit="1" customWidth="1"/>
    <col min="455" max="455" width="11.44140625" bestFit="1" customWidth="1"/>
    <col min="456" max="456" width="10.44140625" bestFit="1" customWidth="1"/>
    <col min="457" max="463" width="11.44140625" bestFit="1" customWidth="1"/>
    <col min="464" max="464" width="10.44140625" bestFit="1" customWidth="1"/>
    <col min="465" max="465" width="11.44140625" bestFit="1" customWidth="1"/>
    <col min="466" max="467" width="10.44140625" bestFit="1" customWidth="1"/>
    <col min="468" max="469" width="11.44140625" bestFit="1" customWidth="1"/>
    <col min="470" max="471" width="10.44140625" bestFit="1" customWidth="1"/>
    <col min="472" max="475" width="11.44140625" bestFit="1" customWidth="1"/>
    <col min="476" max="476" width="10.44140625" bestFit="1" customWidth="1"/>
    <col min="477" max="483" width="11.44140625" bestFit="1" customWidth="1"/>
    <col min="484" max="485" width="10.44140625" bestFit="1" customWidth="1"/>
    <col min="486" max="487" width="11.44140625" bestFit="1" customWidth="1"/>
    <col min="488" max="489" width="10.44140625" bestFit="1" customWidth="1"/>
    <col min="490" max="497" width="11.44140625" bestFit="1" customWidth="1"/>
    <col min="498" max="498" width="10.44140625" bestFit="1" customWidth="1"/>
    <col min="499" max="499" width="11.44140625" bestFit="1" customWidth="1"/>
    <col min="500" max="500" width="10.44140625" bestFit="1" customWidth="1"/>
    <col min="501" max="508" width="11.44140625" bestFit="1" customWidth="1"/>
    <col min="509" max="509" width="10.44140625" bestFit="1" customWidth="1"/>
    <col min="510" max="517" width="11.44140625" bestFit="1" customWidth="1"/>
    <col min="518" max="518" width="10.44140625" bestFit="1" customWidth="1"/>
    <col min="519" max="522" width="11.44140625" bestFit="1" customWidth="1"/>
    <col min="523" max="523" width="10.44140625" bestFit="1" customWidth="1"/>
    <col min="524" max="536" width="11.44140625" bestFit="1" customWidth="1"/>
    <col min="537" max="537" width="10.44140625" bestFit="1" customWidth="1"/>
    <col min="538" max="540" width="11.44140625" bestFit="1" customWidth="1"/>
    <col min="541" max="541" width="15.109375" bestFit="1" customWidth="1"/>
    <col min="542" max="544" width="15.5546875" bestFit="1" customWidth="1"/>
    <col min="545" max="545" width="10.5546875" bestFit="1" customWidth="1"/>
  </cols>
  <sheetData>
    <row r="3" spans="2:18" x14ac:dyDescent="0.3">
      <c r="B3" s="3" t="s">
        <v>1185</v>
      </c>
      <c r="C3" t="s">
        <v>1184</v>
      </c>
      <c r="F3" t="s">
        <v>1202</v>
      </c>
      <c r="G3" s="6">
        <f>IFERROR(
   (
      IF(ISERROR(GETPIVOTDATA("[Measures].[Total profit]",$B$8,"[Sales_data_Cleaned].[date (Year)]","[Sales_data_Cleaned].[date (Year)].&amp;[2020]")),0,GETPIVOTDATA("[Measures].[Total profit]",$B$8,"[Sales_data_Cleaned].[date (Year)]","[Sales_data_Cleaned].[date (Year)].&amp;[2020]"))
      -
      IF(ISERROR(GETPIVOTDATA("[Measures].[Total profit]",$B$8,"[Sales_data_Cleaned].[date (Year)]","[Sales_data_Cleaned].[date (Year)].&amp;[2019]")),0,GETPIVOTDATA("[Measures].[Total profit]",$B$8,"[Sales_data_Cleaned].[date (Year)]","[Sales_data_Cleaned].[date (Year)].&amp;[2019]"))
   )
   /
   IF(ISERROR(GETPIVOTDATA("[Measures].[Total profit]",$B$8,"[Sales_data_Cleaned].[date (Year)]","[Sales_data_Cleaned].[date (Year)].&amp;[2019]")),0,GETPIVOTDATA("[Measures].[Total profit]",$B$8,"[Sales_data_Cleaned].[date (Year)]","[Sales_data_Cleaned].[date (Year)].&amp;[2019]")),0)</f>
        <v>1.7460976201926763E-2</v>
      </c>
      <c r="N3" t="s">
        <v>1200</v>
      </c>
      <c r="O3" t="s">
        <v>1201</v>
      </c>
      <c r="P3" t="s">
        <v>1205</v>
      </c>
      <c r="Q3" t="s">
        <v>1206</v>
      </c>
      <c r="R3" t="s">
        <v>1184</v>
      </c>
    </row>
    <row r="4" spans="2:18" x14ac:dyDescent="0.3">
      <c r="B4" s="4" t="s">
        <v>1187</v>
      </c>
      <c r="C4" s="2">
        <v>56581879.6294</v>
      </c>
      <c r="F4" t="s">
        <v>1203</v>
      </c>
      <c r="G4" s="6">
        <f>IFERROR((C10 - C9) / C9, 0)</f>
        <v>3.0281752183244476E-3</v>
      </c>
      <c r="N4" s="2">
        <v>18865034.50559999</v>
      </c>
      <c r="O4" s="5">
        <v>0.1664535934115661</v>
      </c>
      <c r="P4" s="9">
        <v>1001</v>
      </c>
      <c r="Q4" s="9">
        <v>75</v>
      </c>
      <c r="R4" s="2">
        <v>113335099.1045</v>
      </c>
    </row>
    <row r="5" spans="2:18" x14ac:dyDescent="0.3">
      <c r="B5" s="4" t="s">
        <v>1188</v>
      </c>
      <c r="C5" s="2">
        <v>56753219.475099966</v>
      </c>
      <c r="F5" t="s">
        <v>1204</v>
      </c>
      <c r="G5" s="7">
        <f>IFERROR((E10-E9)/E9,0)</f>
        <v>1.4389227880324158E-2</v>
      </c>
      <c r="N5" s="2">
        <f>$N$4</f>
        <v>18865034.50559999</v>
      </c>
      <c r="O5" s="5">
        <f>$O$4</f>
        <v>0.1664535934115661</v>
      </c>
      <c r="P5">
        <f>$P$4</f>
        <v>1001</v>
      </c>
      <c r="Q5">
        <f>$Q$4</f>
        <v>75</v>
      </c>
      <c r="R5" s="2">
        <f>$R$4</f>
        <v>113335099.1045</v>
      </c>
    </row>
    <row r="6" spans="2:18" x14ac:dyDescent="0.3">
      <c r="F6" t="s">
        <v>1207</v>
      </c>
      <c r="G6" s="7">
        <f>IFERROR((F10-F9)/F9,0)</f>
        <v>3.8696537678207736E-2</v>
      </c>
    </row>
    <row r="7" spans="2:18" x14ac:dyDescent="0.3">
      <c r="F7" t="s">
        <v>1208</v>
      </c>
      <c r="G7" s="7">
        <f>IFERROR((G10-G9)/G9,0)</f>
        <v>0</v>
      </c>
    </row>
    <row r="8" spans="2:18" x14ac:dyDescent="0.3">
      <c r="B8" s="3" t="s">
        <v>1169</v>
      </c>
      <c r="C8" t="s">
        <v>1184</v>
      </c>
      <c r="D8" t="s">
        <v>1200</v>
      </c>
      <c r="E8" t="s">
        <v>1201</v>
      </c>
      <c r="F8" t="s">
        <v>1205</v>
      </c>
      <c r="G8" t="s">
        <v>1206</v>
      </c>
    </row>
    <row r="9" spans="2:18" x14ac:dyDescent="0.3">
      <c r="B9" s="4" t="s">
        <v>1187</v>
      </c>
      <c r="C9" s="2">
        <v>56581879.6294</v>
      </c>
      <c r="D9" s="2">
        <v>9350879.5105000287</v>
      </c>
      <c r="E9" s="5">
        <v>0.16526279387935539</v>
      </c>
      <c r="F9" s="9">
        <v>491</v>
      </c>
      <c r="G9" s="9">
        <v>73</v>
      </c>
    </row>
    <row r="10" spans="2:18" x14ac:dyDescent="0.3">
      <c r="B10" s="4" t="s">
        <v>1188</v>
      </c>
      <c r="C10" s="2">
        <v>56753219.475099966</v>
      </c>
      <c r="D10" s="2">
        <v>9514154.9950999543</v>
      </c>
      <c r="E10" s="5">
        <v>0.16764079788062447</v>
      </c>
      <c r="F10" s="9">
        <v>510</v>
      </c>
      <c r="G10" s="9">
        <v>73</v>
      </c>
    </row>
    <row r="17" spans="2:20" x14ac:dyDescent="0.3">
      <c r="M17" s="3" t="s">
        <v>1209</v>
      </c>
      <c r="N17" t="s">
        <v>1184</v>
      </c>
    </row>
    <row r="18" spans="2:20" x14ac:dyDescent="0.3">
      <c r="M18" s="4" t="s">
        <v>22</v>
      </c>
      <c r="N18" s="2">
        <v>27796361.829999994</v>
      </c>
    </row>
    <row r="19" spans="2:20" x14ac:dyDescent="0.3">
      <c r="M19" s="4" t="s">
        <v>17</v>
      </c>
      <c r="N19" s="2">
        <v>25900678.420000006</v>
      </c>
    </row>
    <row r="20" spans="2:20" x14ac:dyDescent="0.3">
      <c r="B20" s="2"/>
      <c r="C20" s="2"/>
      <c r="M20" s="4" t="s">
        <v>10</v>
      </c>
      <c r="N20" s="2">
        <v>19589451.761900004</v>
      </c>
    </row>
    <row r="21" spans="2:20" x14ac:dyDescent="0.3">
      <c r="H21" s="2"/>
      <c r="M21" s="4" t="s">
        <v>34</v>
      </c>
      <c r="N21" s="2">
        <v>12236276.287099997</v>
      </c>
    </row>
    <row r="22" spans="2:20" x14ac:dyDescent="0.3">
      <c r="M22" s="4" t="s">
        <v>129</v>
      </c>
      <c r="N22" s="2">
        <v>5429839.7770999996</v>
      </c>
    </row>
    <row r="23" spans="2:20" x14ac:dyDescent="0.3">
      <c r="M23" s="4" t="s">
        <v>151</v>
      </c>
      <c r="N23" s="2">
        <v>4952284.709999999</v>
      </c>
    </row>
    <row r="24" spans="2:20" x14ac:dyDescent="0.3">
      <c r="M24" s="4" t="s">
        <v>122</v>
      </c>
      <c r="N24" s="2">
        <v>3482144.6399999987</v>
      </c>
      <c r="S24" s="3" t="s">
        <v>1209</v>
      </c>
      <c r="T24" t="s">
        <v>1210</v>
      </c>
    </row>
    <row r="25" spans="2:20" x14ac:dyDescent="0.3">
      <c r="M25" s="4" t="s">
        <v>216</v>
      </c>
      <c r="N25" s="2">
        <v>3351865.2279999997</v>
      </c>
      <c r="S25" s="4" t="s">
        <v>22</v>
      </c>
      <c r="T25" s="2">
        <v>4625386.7910999991</v>
      </c>
    </row>
    <row r="26" spans="2:20" x14ac:dyDescent="0.3">
      <c r="M26" s="4" t="s">
        <v>66</v>
      </c>
      <c r="N26" s="2">
        <v>2913550.4</v>
      </c>
      <c r="S26" s="4" t="s">
        <v>17</v>
      </c>
      <c r="T26" s="2">
        <v>4335004.57</v>
      </c>
    </row>
    <row r="27" spans="2:20" x14ac:dyDescent="0.3">
      <c r="M27" s="4" t="s">
        <v>54</v>
      </c>
      <c r="N27" s="2">
        <v>2794048.5300000003</v>
      </c>
      <c r="S27" s="4" t="s">
        <v>10</v>
      </c>
      <c r="T27" s="2">
        <v>3245764.361899999</v>
      </c>
    </row>
    <row r="28" spans="2:20" x14ac:dyDescent="0.3">
      <c r="M28" s="4" t="s">
        <v>143</v>
      </c>
      <c r="N28" s="2">
        <v>2390688.4003999997</v>
      </c>
      <c r="S28" s="4" t="s">
        <v>34</v>
      </c>
      <c r="T28" s="2">
        <v>2116680.6670999993</v>
      </c>
    </row>
    <row r="29" spans="2:20" x14ac:dyDescent="0.3">
      <c r="M29" s="4" t="s">
        <v>39</v>
      </c>
      <c r="N29" s="2">
        <v>935569.3</v>
      </c>
      <c r="S29" s="4" t="s">
        <v>151</v>
      </c>
      <c r="T29" s="2">
        <v>829311.98999999987</v>
      </c>
    </row>
    <row r="30" spans="2:20" x14ac:dyDescent="0.3">
      <c r="M30" s="4" t="s">
        <v>169</v>
      </c>
      <c r="N30" s="2">
        <v>763203.51</v>
      </c>
      <c r="S30" s="4" t="s">
        <v>129</v>
      </c>
      <c r="T30" s="2">
        <v>781089.78710000007</v>
      </c>
    </row>
    <row r="31" spans="2:20" x14ac:dyDescent="0.3">
      <c r="M31" s="4" t="s">
        <v>247</v>
      </c>
      <c r="N31" s="2">
        <v>608969.96</v>
      </c>
      <c r="S31" s="4" t="s">
        <v>216</v>
      </c>
      <c r="T31" s="2">
        <v>652766.52800000005</v>
      </c>
    </row>
    <row r="32" spans="2:20" x14ac:dyDescent="0.3">
      <c r="M32" s="4" t="s">
        <v>513</v>
      </c>
      <c r="N32" s="2">
        <v>190166.35</v>
      </c>
      <c r="S32" s="4" t="s">
        <v>122</v>
      </c>
      <c r="T32" s="2">
        <v>605403.12</v>
      </c>
    </row>
    <row r="33" spans="3:20" x14ac:dyDescent="0.3">
      <c r="C33" s="3" t="s">
        <v>1184</v>
      </c>
      <c r="D33" s="3" t="s">
        <v>1186</v>
      </c>
      <c r="S33" s="4" t="s">
        <v>66</v>
      </c>
      <c r="T33" s="2">
        <v>482566.46</v>
      </c>
    </row>
    <row r="34" spans="3:20" x14ac:dyDescent="0.3">
      <c r="C34" s="3" t="s">
        <v>1185</v>
      </c>
      <c r="D34" t="s">
        <v>1187</v>
      </c>
      <c r="E34" t="s">
        <v>1188</v>
      </c>
      <c r="S34" s="4" t="s">
        <v>54</v>
      </c>
      <c r="T34" s="2">
        <v>465958.35000000009</v>
      </c>
    </row>
    <row r="35" spans="3:20" x14ac:dyDescent="0.3">
      <c r="C35" s="4" t="s">
        <v>1189</v>
      </c>
      <c r="D35" s="2">
        <v>4571289.9800000004</v>
      </c>
      <c r="E35" s="2">
        <v>4558619.580000001</v>
      </c>
      <c r="S35" s="4" t="s">
        <v>143</v>
      </c>
      <c r="T35" s="2">
        <v>306138.89039999997</v>
      </c>
    </row>
    <row r="36" spans="3:20" x14ac:dyDescent="0.3">
      <c r="C36" s="4" t="s">
        <v>1190</v>
      </c>
      <c r="D36" s="2">
        <v>3848144.5671000001</v>
      </c>
      <c r="E36" s="2">
        <v>3968409.37</v>
      </c>
      <c r="S36" s="4" t="s">
        <v>39</v>
      </c>
      <c r="T36" s="2">
        <v>155458.63000000003</v>
      </c>
    </row>
    <row r="37" spans="3:20" x14ac:dyDescent="0.3">
      <c r="C37" s="4" t="s">
        <v>1191</v>
      </c>
      <c r="D37" s="2">
        <v>4021305.7800000003</v>
      </c>
      <c r="E37" s="2">
        <v>4123499.6399999997</v>
      </c>
      <c r="S37" s="4" t="s">
        <v>169</v>
      </c>
      <c r="T37" s="2">
        <v>133352.69999999998</v>
      </c>
    </row>
    <row r="38" spans="3:20" x14ac:dyDescent="0.3">
      <c r="C38" s="4" t="s">
        <v>1192</v>
      </c>
      <c r="D38" s="2">
        <v>4413027.9218999995</v>
      </c>
      <c r="E38" s="2">
        <v>5255768.6700000018</v>
      </c>
      <c r="S38" s="4" t="s">
        <v>247</v>
      </c>
      <c r="T38" s="2">
        <v>94433.280000000013</v>
      </c>
    </row>
    <row r="39" spans="3:20" x14ac:dyDescent="0.3">
      <c r="C39" s="4" t="s">
        <v>1173</v>
      </c>
      <c r="D39" s="2">
        <v>4367704.84</v>
      </c>
      <c r="E39" s="2">
        <v>5472819.6800000006</v>
      </c>
      <c r="S39" s="4" t="s">
        <v>513</v>
      </c>
      <c r="T39" s="2">
        <v>35718.379999999997</v>
      </c>
    </row>
    <row r="40" spans="3:20" x14ac:dyDescent="0.3">
      <c r="C40" s="4" t="s">
        <v>1193</v>
      </c>
      <c r="D40" s="2">
        <v>5612950.2104000011</v>
      </c>
      <c r="E40" s="2">
        <v>5689890.6999999983</v>
      </c>
    </row>
    <row r="41" spans="3:20" x14ac:dyDescent="0.3">
      <c r="C41" s="4" t="s">
        <v>1194</v>
      </c>
      <c r="D41" s="2">
        <v>4840472.8</v>
      </c>
      <c r="E41" s="2">
        <v>4653499.0680000009</v>
      </c>
      <c r="Q41" s="3" t="s">
        <v>1219</v>
      </c>
      <c r="R41" t="s">
        <v>1200</v>
      </c>
    </row>
    <row r="42" spans="3:20" x14ac:dyDescent="0.3">
      <c r="C42" s="4" t="s">
        <v>1195</v>
      </c>
      <c r="D42" s="2">
        <v>4390216.84</v>
      </c>
      <c r="E42" s="2">
        <v>4881253.290000001</v>
      </c>
      <c r="Q42" s="4" t="s">
        <v>40</v>
      </c>
      <c r="R42" s="2">
        <v>2950943.2550999876</v>
      </c>
    </row>
    <row r="43" spans="3:20" x14ac:dyDescent="0.3">
      <c r="C43" s="4" t="s">
        <v>1196</v>
      </c>
      <c r="D43" s="2">
        <v>6157960.7699999986</v>
      </c>
      <c r="E43" s="2">
        <v>4822432.59</v>
      </c>
      <c r="Q43" s="4" t="s">
        <v>11</v>
      </c>
      <c r="R43" s="2">
        <v>2523021.2010999862</v>
      </c>
    </row>
    <row r="44" spans="3:20" x14ac:dyDescent="0.3">
      <c r="C44" s="4" t="s">
        <v>1197</v>
      </c>
      <c r="D44" s="2">
        <v>4117682.3699999992</v>
      </c>
      <c r="E44" s="2">
        <v>3751915.9999999991</v>
      </c>
      <c r="Q44" s="4" t="s">
        <v>29</v>
      </c>
      <c r="R44" s="2">
        <v>2401133</v>
      </c>
    </row>
    <row r="45" spans="3:20" x14ac:dyDescent="0.3">
      <c r="C45" s="4" t="s">
        <v>1198</v>
      </c>
      <c r="D45" s="2">
        <v>4036842.8100000005</v>
      </c>
      <c r="E45" s="2">
        <v>4408565.21</v>
      </c>
      <c r="Q45" s="4" t="s">
        <v>23</v>
      </c>
      <c r="R45" s="2">
        <v>2378575.5223000087</v>
      </c>
    </row>
    <row r="46" spans="3:20" x14ac:dyDescent="0.3">
      <c r="C46" s="4" t="s">
        <v>1199</v>
      </c>
      <c r="D46" s="2">
        <v>6204280.7400000002</v>
      </c>
      <c r="E46" s="2">
        <v>5166545.677099999</v>
      </c>
      <c r="Q46" s="4" t="s">
        <v>91</v>
      </c>
      <c r="R46" s="2">
        <v>2225913.8800000027</v>
      </c>
    </row>
    <row r="47" spans="3:20" x14ac:dyDescent="0.3">
      <c r="Q47" s="4" t="s">
        <v>76</v>
      </c>
      <c r="R47" s="2">
        <v>2118427.4299999978</v>
      </c>
    </row>
    <row r="48" spans="3:20" x14ac:dyDescent="0.3">
      <c r="Q48" s="4" t="s">
        <v>51</v>
      </c>
      <c r="R48" s="2">
        <v>1877327.6671000011</v>
      </c>
    </row>
    <row r="49" spans="3:18" x14ac:dyDescent="0.3">
      <c r="Q49" s="4" t="s">
        <v>181</v>
      </c>
      <c r="R49" s="2">
        <v>1056762.5099999988</v>
      </c>
    </row>
    <row r="50" spans="3:18" x14ac:dyDescent="0.3">
      <c r="Q50" s="4" t="s">
        <v>55</v>
      </c>
      <c r="R50" s="2">
        <v>783896.33000000054</v>
      </c>
    </row>
    <row r="51" spans="3:18" x14ac:dyDescent="0.3">
      <c r="C51" s="3" t="s">
        <v>1205</v>
      </c>
      <c r="D51" s="3" t="s">
        <v>1186</v>
      </c>
      <c r="Q51" s="4" t="s">
        <v>99</v>
      </c>
      <c r="R51" s="2">
        <v>549033.71</v>
      </c>
    </row>
    <row r="52" spans="3:18" x14ac:dyDescent="0.3">
      <c r="C52" s="3" t="s">
        <v>1185</v>
      </c>
      <c r="D52" t="s">
        <v>1187</v>
      </c>
      <c r="E52" t="s">
        <v>1188</v>
      </c>
    </row>
    <row r="53" spans="3:18" x14ac:dyDescent="0.3">
      <c r="C53" s="4" t="s">
        <v>1189</v>
      </c>
      <c r="D53" s="9">
        <v>45</v>
      </c>
      <c r="E53" s="9">
        <v>45</v>
      </c>
    </row>
    <row r="54" spans="3:18" x14ac:dyDescent="0.3">
      <c r="C54" s="4" t="s">
        <v>1190</v>
      </c>
      <c r="D54" s="9">
        <v>38</v>
      </c>
      <c r="E54" s="9">
        <v>39</v>
      </c>
      <c r="M54" s="3" t="s">
        <v>1221</v>
      </c>
      <c r="N54" t="s">
        <v>1184</v>
      </c>
    </row>
    <row r="55" spans="3:18" x14ac:dyDescent="0.3">
      <c r="C55" s="4" t="s">
        <v>1191</v>
      </c>
      <c r="D55" s="9">
        <v>46</v>
      </c>
      <c r="E55" s="9">
        <v>43</v>
      </c>
      <c r="M55" s="4" t="s">
        <v>27</v>
      </c>
      <c r="N55" s="2">
        <v>89424895.024099991</v>
      </c>
    </row>
    <row r="56" spans="3:18" x14ac:dyDescent="0.3">
      <c r="C56" s="4" t="s">
        <v>1192</v>
      </c>
      <c r="D56" s="9">
        <v>40</v>
      </c>
      <c r="E56" s="9">
        <v>42</v>
      </c>
      <c r="M56" s="4" t="s">
        <v>32</v>
      </c>
      <c r="N56" s="2">
        <v>15338843.260400005</v>
      </c>
    </row>
    <row r="57" spans="3:18" x14ac:dyDescent="0.3">
      <c r="C57" s="4" t="s">
        <v>1173</v>
      </c>
      <c r="D57" s="9">
        <v>38</v>
      </c>
      <c r="E57" s="9">
        <v>54</v>
      </c>
      <c r="M57" s="4" t="s">
        <v>15</v>
      </c>
      <c r="N57" s="2">
        <v>8267060.5300000003</v>
      </c>
    </row>
    <row r="58" spans="3:18" x14ac:dyDescent="0.3">
      <c r="C58" s="4" t="s">
        <v>1193</v>
      </c>
      <c r="D58" s="9">
        <v>40</v>
      </c>
      <c r="E58" s="9">
        <v>42</v>
      </c>
      <c r="M58" s="4" t="s">
        <v>1183</v>
      </c>
      <c r="N58" s="2">
        <v>304300.28999999998</v>
      </c>
    </row>
    <row r="59" spans="3:18" x14ac:dyDescent="0.3">
      <c r="C59" s="4" t="s">
        <v>1194</v>
      </c>
      <c r="D59" s="9">
        <v>34</v>
      </c>
      <c r="E59" s="9">
        <v>39</v>
      </c>
    </row>
    <row r="60" spans="3:18" x14ac:dyDescent="0.3">
      <c r="C60" s="4" t="s">
        <v>1195</v>
      </c>
      <c r="D60" s="9">
        <v>40</v>
      </c>
      <c r="E60" s="9">
        <v>45</v>
      </c>
    </row>
    <row r="61" spans="3:18" x14ac:dyDescent="0.3">
      <c r="C61" s="4" t="s">
        <v>1196</v>
      </c>
      <c r="D61" s="9">
        <v>55</v>
      </c>
      <c r="E61" s="9">
        <v>42</v>
      </c>
    </row>
    <row r="62" spans="3:18" x14ac:dyDescent="0.3">
      <c r="C62" s="4" t="s">
        <v>1197</v>
      </c>
      <c r="D62" s="9">
        <v>41</v>
      </c>
      <c r="E62" s="9">
        <v>38</v>
      </c>
      <c r="M62" s="3" t="s">
        <v>1221</v>
      </c>
      <c r="N62" t="s">
        <v>1200</v>
      </c>
    </row>
    <row r="63" spans="3:18" x14ac:dyDescent="0.3">
      <c r="C63" s="4" t="s">
        <v>1198</v>
      </c>
      <c r="D63" s="9">
        <v>38</v>
      </c>
      <c r="E63" s="9">
        <v>41</v>
      </c>
      <c r="M63" s="4" t="s">
        <v>27</v>
      </c>
      <c r="N63" s="2">
        <v>15022309.365199924</v>
      </c>
    </row>
    <row r="64" spans="3:18" x14ac:dyDescent="0.3">
      <c r="C64" s="4" t="s">
        <v>1199</v>
      </c>
      <c r="D64" s="9">
        <v>36</v>
      </c>
      <c r="E64" s="9">
        <v>40</v>
      </c>
      <c r="M64" s="4" t="s">
        <v>32</v>
      </c>
      <c r="N64" s="2">
        <v>2444163.2004000023</v>
      </c>
    </row>
    <row r="65" spans="3:14" x14ac:dyDescent="0.3">
      <c r="M65" s="4" t="s">
        <v>15</v>
      </c>
      <c r="N65" s="2">
        <v>1351415.1499999985</v>
      </c>
    </row>
    <row r="66" spans="3:14" x14ac:dyDescent="0.3">
      <c r="M66" s="4" t="s">
        <v>1183</v>
      </c>
      <c r="N66" s="2">
        <v>47146.789999999979</v>
      </c>
    </row>
    <row r="68" spans="3:14" x14ac:dyDescent="0.3">
      <c r="C68" s="3" t="s">
        <v>1206</v>
      </c>
      <c r="D68" s="3" t="s">
        <v>1186</v>
      </c>
    </row>
    <row r="69" spans="3:14" x14ac:dyDescent="0.3">
      <c r="C69" s="3" t="s">
        <v>1185</v>
      </c>
      <c r="D69" t="s">
        <v>1187</v>
      </c>
      <c r="E69" t="s">
        <v>1188</v>
      </c>
    </row>
    <row r="70" spans="3:14" x14ac:dyDescent="0.3">
      <c r="C70" s="4" t="s">
        <v>1189</v>
      </c>
      <c r="D70" s="9">
        <v>25</v>
      </c>
      <c r="E70" s="9">
        <v>33</v>
      </c>
      <c r="M70" s="3" t="s">
        <v>1220</v>
      </c>
      <c r="N70" t="s">
        <v>1184</v>
      </c>
    </row>
    <row r="71" spans="3:14" x14ac:dyDescent="0.3">
      <c r="C71" s="4" t="s">
        <v>1190</v>
      </c>
      <c r="D71" s="9">
        <v>22</v>
      </c>
      <c r="E71" s="9">
        <v>25</v>
      </c>
      <c r="M71" s="4" t="s">
        <v>217</v>
      </c>
      <c r="N71" s="2">
        <v>3351865.2279999997</v>
      </c>
    </row>
    <row r="72" spans="3:14" x14ac:dyDescent="0.3">
      <c r="C72" s="4" t="s">
        <v>1191</v>
      </c>
      <c r="D72" s="9">
        <v>29</v>
      </c>
      <c r="E72" s="9">
        <v>31</v>
      </c>
      <c r="M72" s="4" t="s">
        <v>25</v>
      </c>
      <c r="N72" s="2">
        <v>27796361.829999994</v>
      </c>
    </row>
    <row r="73" spans="3:14" x14ac:dyDescent="0.3">
      <c r="C73" s="4" t="s">
        <v>1192</v>
      </c>
      <c r="D73" s="9">
        <v>25</v>
      </c>
      <c r="E73" s="9">
        <v>30</v>
      </c>
      <c r="M73" s="4" t="s">
        <v>152</v>
      </c>
      <c r="N73" s="2">
        <v>4952284.709999999</v>
      </c>
    </row>
    <row r="74" spans="3:14" x14ac:dyDescent="0.3">
      <c r="C74" s="4" t="s">
        <v>1173</v>
      </c>
      <c r="D74" s="9">
        <v>26</v>
      </c>
      <c r="E74" s="9">
        <v>33</v>
      </c>
      <c r="M74" s="4" t="s">
        <v>130</v>
      </c>
      <c r="N74" s="2">
        <v>5429839.7770999996</v>
      </c>
    </row>
    <row r="75" spans="3:14" x14ac:dyDescent="0.3">
      <c r="C75" s="4" t="s">
        <v>1193</v>
      </c>
      <c r="D75" s="9">
        <v>27</v>
      </c>
      <c r="E75" s="9">
        <v>29</v>
      </c>
      <c r="M75" s="4" t="s">
        <v>36</v>
      </c>
      <c r="N75" s="2">
        <v>12236276.287099997</v>
      </c>
    </row>
    <row r="76" spans="3:14" x14ac:dyDescent="0.3">
      <c r="C76" s="4" t="s">
        <v>1194</v>
      </c>
      <c r="D76" s="9">
        <v>25</v>
      </c>
      <c r="E76" s="9">
        <v>26</v>
      </c>
      <c r="M76" s="4" t="s">
        <v>13</v>
      </c>
      <c r="N76" s="2">
        <v>19589451.761900004</v>
      </c>
    </row>
    <row r="77" spans="3:14" x14ac:dyDescent="0.3">
      <c r="C77" s="4" t="s">
        <v>1195</v>
      </c>
      <c r="D77" s="9">
        <v>29</v>
      </c>
      <c r="E77" s="9">
        <v>32</v>
      </c>
      <c r="M77" s="4" t="s">
        <v>19</v>
      </c>
      <c r="N77" s="2">
        <v>25900678.420000006</v>
      </c>
    </row>
    <row r="78" spans="3:14" x14ac:dyDescent="0.3">
      <c r="C78" s="4" t="s">
        <v>1196</v>
      </c>
      <c r="D78" s="9">
        <v>31</v>
      </c>
      <c r="E78" s="9">
        <v>27</v>
      </c>
      <c r="M78" s="4" t="s">
        <v>57</v>
      </c>
      <c r="N78" s="2">
        <v>2794048.5300000003</v>
      </c>
    </row>
    <row r="79" spans="3:14" x14ac:dyDescent="0.3">
      <c r="C79" s="4" t="s">
        <v>1197</v>
      </c>
      <c r="D79" s="9">
        <v>28</v>
      </c>
      <c r="E79" s="9">
        <v>28</v>
      </c>
      <c r="M79" s="4" t="s">
        <v>123</v>
      </c>
      <c r="N79" s="2">
        <v>3482144.6399999987</v>
      </c>
    </row>
    <row r="80" spans="3:14" x14ac:dyDescent="0.3">
      <c r="C80" s="4" t="s">
        <v>1198</v>
      </c>
      <c r="D80" s="9">
        <v>23</v>
      </c>
      <c r="E80" s="9">
        <v>25</v>
      </c>
      <c r="M80" s="4" t="s">
        <v>145</v>
      </c>
      <c r="N80" s="2">
        <v>2390688.4003999997</v>
      </c>
    </row>
    <row r="81" spans="3:14" x14ac:dyDescent="0.3">
      <c r="C81" s="4" t="s">
        <v>1199</v>
      </c>
      <c r="D81" s="9">
        <v>24</v>
      </c>
      <c r="E81" s="9">
        <v>25</v>
      </c>
      <c r="M81" s="4" t="s">
        <v>171</v>
      </c>
      <c r="N81" s="2">
        <v>763203.51</v>
      </c>
    </row>
    <row r="82" spans="3:14" x14ac:dyDescent="0.3">
      <c r="M82" s="4" t="s">
        <v>68</v>
      </c>
      <c r="N82" s="2">
        <v>2913550.4</v>
      </c>
    </row>
    <row r="83" spans="3:14" x14ac:dyDescent="0.3">
      <c r="M83" s="4" t="s">
        <v>248</v>
      </c>
      <c r="N83" s="2">
        <v>608969.96</v>
      </c>
    </row>
    <row r="84" spans="3:14" x14ac:dyDescent="0.3">
      <c r="M84" s="4" t="s">
        <v>514</v>
      </c>
      <c r="N84" s="2">
        <v>190166.35</v>
      </c>
    </row>
    <row r="85" spans="3:14" x14ac:dyDescent="0.3">
      <c r="C85" s="3" t="s">
        <v>1200</v>
      </c>
      <c r="D85" s="3" t="s">
        <v>1186</v>
      </c>
      <c r="M85" s="4" t="s">
        <v>42</v>
      </c>
      <c r="N85" s="2">
        <v>935569.3</v>
      </c>
    </row>
    <row r="86" spans="3:14" x14ac:dyDescent="0.3">
      <c r="C86" s="3" t="s">
        <v>1185</v>
      </c>
      <c r="D86" t="s">
        <v>1187</v>
      </c>
      <c r="E86" t="s">
        <v>1188</v>
      </c>
    </row>
    <row r="87" spans="3:14" x14ac:dyDescent="0.3">
      <c r="C87" s="4" t="s">
        <v>1189</v>
      </c>
      <c r="D87" s="2">
        <v>765657.30999999959</v>
      </c>
      <c r="E87" s="2">
        <v>808444.22000000067</v>
      </c>
    </row>
    <row r="88" spans="3:14" x14ac:dyDescent="0.3">
      <c r="C88" s="4" t="s">
        <v>1190</v>
      </c>
      <c r="D88" s="2">
        <v>686173.87710000016</v>
      </c>
      <c r="E88" s="2">
        <v>637509.71000000043</v>
      </c>
    </row>
    <row r="89" spans="3:14" x14ac:dyDescent="0.3">
      <c r="C89" s="4" t="s">
        <v>1191</v>
      </c>
      <c r="D89" s="2">
        <v>683666.98</v>
      </c>
      <c r="E89" s="2">
        <v>674357.22999999905</v>
      </c>
    </row>
    <row r="90" spans="3:14" x14ac:dyDescent="0.3">
      <c r="C90" s="4" t="s">
        <v>1192</v>
      </c>
      <c r="D90" s="2">
        <v>696930.05189999845</v>
      </c>
      <c r="E90" s="2">
        <v>898614.06000000145</v>
      </c>
    </row>
    <row r="91" spans="3:14" x14ac:dyDescent="0.3">
      <c r="C91" s="4" t="s">
        <v>1173</v>
      </c>
      <c r="D91" s="2">
        <v>761862.77</v>
      </c>
      <c r="E91" s="2">
        <v>905353.12999999989</v>
      </c>
    </row>
    <row r="92" spans="3:14" x14ac:dyDescent="0.3">
      <c r="C92" s="4" t="s">
        <v>1193</v>
      </c>
      <c r="D92" s="2">
        <v>877540.57040000055</v>
      </c>
      <c r="E92" s="2">
        <v>955440.99999999721</v>
      </c>
    </row>
    <row r="93" spans="3:14" x14ac:dyDescent="0.3">
      <c r="C93" s="4" t="s">
        <v>1194</v>
      </c>
      <c r="D93" s="2">
        <v>798487.89999999804</v>
      </c>
      <c r="E93" s="2">
        <v>861529.62800000096</v>
      </c>
      <c r="M93" s="3" t="s">
        <v>1218</v>
      </c>
      <c r="N93" t="s">
        <v>1184</v>
      </c>
    </row>
    <row r="94" spans="3:14" x14ac:dyDescent="0.3">
      <c r="C94" s="4" t="s">
        <v>1195</v>
      </c>
      <c r="D94" s="2">
        <v>739654.40999999922</v>
      </c>
      <c r="E94" s="2">
        <v>807172.71000000043</v>
      </c>
      <c r="M94" s="4" t="s">
        <v>26</v>
      </c>
      <c r="N94" s="2">
        <v>6897053.0299999975</v>
      </c>
    </row>
    <row r="95" spans="3:14" x14ac:dyDescent="0.3">
      <c r="C95" s="4" t="s">
        <v>1196</v>
      </c>
      <c r="D95" s="2">
        <v>965758.9599999981</v>
      </c>
      <c r="E95" s="2">
        <v>829285.73</v>
      </c>
      <c r="M95" s="4" t="s">
        <v>20</v>
      </c>
      <c r="N95" s="2">
        <v>6655160.1600000001</v>
      </c>
    </row>
    <row r="96" spans="3:14" x14ac:dyDescent="0.3">
      <c r="C96" s="4" t="s">
        <v>1197</v>
      </c>
      <c r="D96" s="2">
        <v>687589.53999999957</v>
      </c>
      <c r="E96" s="2">
        <v>655510.78999999957</v>
      </c>
      <c r="M96" s="4" t="s">
        <v>63</v>
      </c>
      <c r="N96" s="2">
        <v>6160216.9699999988</v>
      </c>
    </row>
    <row r="97" spans="3:14" x14ac:dyDescent="0.3">
      <c r="C97" s="4" t="s">
        <v>1198</v>
      </c>
      <c r="D97" s="2">
        <v>585902.56110000098</v>
      </c>
      <c r="E97" s="2">
        <v>738544.74999999953</v>
      </c>
      <c r="M97" s="4" t="s">
        <v>52</v>
      </c>
      <c r="N97" s="2">
        <v>5488553.1300000018</v>
      </c>
    </row>
    <row r="98" spans="3:14" x14ac:dyDescent="0.3">
      <c r="C98" s="4" t="s">
        <v>1199</v>
      </c>
      <c r="D98" s="2">
        <v>1101654.58</v>
      </c>
      <c r="E98" s="2">
        <v>742392.03709999938</v>
      </c>
      <c r="M98" s="4" t="s">
        <v>157</v>
      </c>
      <c r="N98" s="2">
        <v>5238271.6499999994</v>
      </c>
    </row>
    <row r="99" spans="3:14" x14ac:dyDescent="0.3">
      <c r="M99" s="4" t="s">
        <v>31</v>
      </c>
      <c r="N99" s="2">
        <v>5154602.6999999993</v>
      </c>
    </row>
    <row r="100" spans="3:14" x14ac:dyDescent="0.3">
      <c r="M100" s="4" t="s">
        <v>87</v>
      </c>
      <c r="N100" s="2">
        <v>4759031.5599999996</v>
      </c>
    </row>
    <row r="101" spans="3:14" x14ac:dyDescent="0.3">
      <c r="M101" s="4" t="s">
        <v>104</v>
      </c>
      <c r="N101" s="2">
        <v>4732217.8171000006</v>
      </c>
    </row>
    <row r="102" spans="3:14" x14ac:dyDescent="0.3">
      <c r="C102" s="3" t="s">
        <v>1185</v>
      </c>
      <c r="D102" t="s">
        <v>1184</v>
      </c>
      <c r="M102" s="4" t="s">
        <v>49</v>
      </c>
      <c r="N102" s="2">
        <v>4712751.3900000006</v>
      </c>
    </row>
    <row r="103" spans="3:14" x14ac:dyDescent="0.3">
      <c r="C103" s="4" t="s">
        <v>1216</v>
      </c>
      <c r="D103" s="2">
        <v>27295399.749999996</v>
      </c>
      <c r="M103" s="4" t="s">
        <v>14</v>
      </c>
      <c r="N103" s="2">
        <v>4567175.51</v>
      </c>
    </row>
    <row r="104" spans="3:14" x14ac:dyDescent="0.3">
      <c r="C104" s="4" t="s">
        <v>1215</v>
      </c>
      <c r="D104" s="2">
        <v>27654126.531899996</v>
      </c>
    </row>
    <row r="105" spans="3:14" x14ac:dyDescent="0.3">
      <c r="C105" s="4" t="s">
        <v>1214</v>
      </c>
      <c r="D105" s="2">
        <v>30068282.908400025</v>
      </c>
    </row>
    <row r="106" spans="3:14" x14ac:dyDescent="0.3">
      <c r="C106" s="4" t="s">
        <v>1217</v>
      </c>
      <c r="D106" s="2">
        <v>28317289.914200004</v>
      </c>
      <c r="M106" s="3" t="s">
        <v>1209</v>
      </c>
      <c r="N106" t="s">
        <v>1211</v>
      </c>
    </row>
    <row r="107" spans="3:14" x14ac:dyDescent="0.3">
      <c r="M107" s="4" t="s">
        <v>66</v>
      </c>
      <c r="N107" s="8">
        <v>132434.1090909091</v>
      </c>
    </row>
    <row r="108" spans="3:14" x14ac:dyDescent="0.3">
      <c r="M108" s="4" t="s">
        <v>129</v>
      </c>
      <c r="N108" s="8">
        <v>123405.44947954545</v>
      </c>
    </row>
    <row r="109" spans="3:14" x14ac:dyDescent="0.3">
      <c r="M109" s="4" t="s">
        <v>34</v>
      </c>
      <c r="N109" s="8">
        <v>119963.49301078428</v>
      </c>
    </row>
    <row r="110" spans="3:14" x14ac:dyDescent="0.3">
      <c r="M110" s="4" t="s">
        <v>216</v>
      </c>
      <c r="N110" s="8">
        <v>119709.47242857142</v>
      </c>
    </row>
    <row r="111" spans="3:14" x14ac:dyDescent="0.3">
      <c r="M111" s="4" t="s">
        <v>54</v>
      </c>
      <c r="N111" s="8">
        <v>116418.68875000002</v>
      </c>
    </row>
    <row r="112" spans="3:14" x14ac:dyDescent="0.3">
      <c r="M112" s="4" t="s">
        <v>22</v>
      </c>
      <c r="N112" s="8">
        <v>116302.7691631799</v>
      </c>
    </row>
    <row r="113" spans="13:14" x14ac:dyDescent="0.3">
      <c r="M113" s="4" t="s">
        <v>122</v>
      </c>
      <c r="N113" s="8">
        <v>116071.48799999995</v>
      </c>
    </row>
    <row r="114" spans="13:14" x14ac:dyDescent="0.3">
      <c r="M114" s="4" t="s">
        <v>151</v>
      </c>
      <c r="N114" s="8">
        <v>115169.41186046509</v>
      </c>
    </row>
    <row r="115" spans="13:14" x14ac:dyDescent="0.3">
      <c r="M115" s="4" t="s">
        <v>17</v>
      </c>
      <c r="N115" s="8">
        <v>111640.85525862071</v>
      </c>
    </row>
    <row r="116" spans="13:14" x14ac:dyDescent="0.3">
      <c r="M116" s="4" t="s">
        <v>10</v>
      </c>
      <c r="N116" s="8">
        <v>107634.35034010992</v>
      </c>
    </row>
    <row r="117" spans="13:14" x14ac:dyDescent="0.3">
      <c r="M117" s="4" t="s">
        <v>247</v>
      </c>
      <c r="N117" s="8">
        <v>101494.99333333333</v>
      </c>
    </row>
    <row r="118" spans="13:14" x14ac:dyDescent="0.3">
      <c r="M118" s="4" t="s">
        <v>513</v>
      </c>
      <c r="N118" s="8">
        <v>95083.175000000003</v>
      </c>
    </row>
    <row r="119" spans="13:14" x14ac:dyDescent="0.3">
      <c r="M119" s="4" t="s">
        <v>39</v>
      </c>
      <c r="N119" s="8">
        <v>93556.930000000008</v>
      </c>
    </row>
    <row r="120" spans="13:14" x14ac:dyDescent="0.3">
      <c r="M120" s="4" t="s">
        <v>143</v>
      </c>
      <c r="N120" s="8">
        <v>91949.553861538443</v>
      </c>
    </row>
    <row r="121" spans="13:14" x14ac:dyDescent="0.3">
      <c r="M121" s="4" t="s">
        <v>169</v>
      </c>
      <c r="N121" s="8">
        <v>69382.137272727268</v>
      </c>
    </row>
    <row r="123" spans="13:14" x14ac:dyDescent="0.3">
      <c r="M123" s="3" t="s">
        <v>1219</v>
      </c>
      <c r="N123" t="s">
        <v>1201</v>
      </c>
    </row>
    <row r="124" spans="13:14" x14ac:dyDescent="0.3">
      <c r="M124" s="4" t="s">
        <v>181</v>
      </c>
      <c r="N124" s="5">
        <v>0.17793384183717306</v>
      </c>
    </row>
    <row r="125" spans="13:14" x14ac:dyDescent="0.3">
      <c r="M125" s="4" t="s">
        <v>91</v>
      </c>
      <c r="N125" s="5">
        <v>0.16888599723023856</v>
      </c>
    </row>
    <row r="126" spans="13:14" x14ac:dyDescent="0.3">
      <c r="M126" s="4" t="s">
        <v>76</v>
      </c>
      <c r="N126" s="5">
        <v>0.16854297585127706</v>
      </c>
    </row>
    <row r="127" spans="13:14" x14ac:dyDescent="0.3">
      <c r="M127" s="4" t="s">
        <v>99</v>
      </c>
      <c r="N127" s="5">
        <v>0.16826127391645779</v>
      </c>
    </row>
    <row r="128" spans="13:14" x14ac:dyDescent="0.3">
      <c r="M128" s="4" t="s">
        <v>51</v>
      </c>
      <c r="N128" s="5">
        <v>0.16824443101130876</v>
      </c>
    </row>
    <row r="129" spans="13:14" x14ac:dyDescent="0.3">
      <c r="M129" s="4" t="s">
        <v>40</v>
      </c>
      <c r="N129" s="5">
        <v>0.16699651834811613</v>
      </c>
    </row>
    <row r="130" spans="13:14" x14ac:dyDescent="0.3">
      <c r="M130" s="4" t="s">
        <v>55</v>
      </c>
      <c r="N130" s="5">
        <v>0.1666470830448247</v>
      </c>
    </row>
    <row r="131" spans="13:14" x14ac:dyDescent="0.3">
      <c r="M131" s="4" t="s">
        <v>29</v>
      </c>
      <c r="N131" s="5">
        <v>0.1658003128421294</v>
      </c>
    </row>
    <row r="132" spans="13:14" x14ac:dyDescent="0.3">
      <c r="M132" s="4" t="s">
        <v>11</v>
      </c>
      <c r="N132" s="5">
        <v>0.16398585643557645</v>
      </c>
    </row>
    <row r="133" spans="13:14" x14ac:dyDescent="0.3">
      <c r="M133" s="4" t="s">
        <v>23</v>
      </c>
      <c r="N133" s="5">
        <v>0.15874775367363642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E816-47C7-43E2-A80B-160C497FA7AB}">
  <dimension ref="B2:T204"/>
  <sheetViews>
    <sheetView topLeftCell="O34" zoomScale="85" zoomScaleNormal="85" workbookViewId="0">
      <selection activeCell="V50" sqref="V50"/>
    </sheetView>
  </sheetViews>
  <sheetFormatPr defaultRowHeight="14.4" x14ac:dyDescent="0.3"/>
  <cols>
    <col min="2" max="2" width="13" bestFit="1" customWidth="1"/>
    <col min="3" max="3" width="14.44140625" bestFit="1" customWidth="1"/>
    <col min="4" max="4" width="13.33203125" bestFit="1" customWidth="1"/>
    <col min="5" max="5" width="12.109375" bestFit="1" customWidth="1"/>
    <col min="6" max="6" width="14.88671875" bestFit="1" customWidth="1"/>
    <col min="7" max="7" width="15.5546875" bestFit="1" customWidth="1"/>
    <col min="10" max="10" width="7.109375" bestFit="1" customWidth="1"/>
    <col min="13" max="13" width="12.109375" bestFit="1" customWidth="1"/>
    <col min="14" max="14" width="13.33203125" bestFit="1" customWidth="1"/>
    <col min="16" max="17" width="11.21875" bestFit="1" customWidth="1"/>
    <col min="18" max="18" width="13.33203125" bestFit="1" customWidth="1"/>
    <col min="19" max="19" width="11.21875" bestFit="1" customWidth="1"/>
    <col min="20" max="20" width="18.44140625" bestFit="1" customWidth="1"/>
  </cols>
  <sheetData>
    <row r="2" spans="2:18" x14ac:dyDescent="0.3">
      <c r="B2" s="3" t="s">
        <v>1184</v>
      </c>
      <c r="C2" s="3" t="s">
        <v>1186</v>
      </c>
    </row>
    <row r="3" spans="2:18" x14ac:dyDescent="0.3">
      <c r="B3" s="3" t="s">
        <v>1185</v>
      </c>
      <c r="C3" t="s">
        <v>1187</v>
      </c>
      <c r="D3" t="s">
        <v>1188</v>
      </c>
    </row>
    <row r="4" spans="2:18" x14ac:dyDescent="0.3">
      <c r="B4" s="4" t="s">
        <v>1189</v>
      </c>
      <c r="C4" s="2">
        <v>4571289.9800000004</v>
      </c>
      <c r="D4" s="2">
        <v>4558619.580000001</v>
      </c>
      <c r="Q4" s="3" t="s">
        <v>1185</v>
      </c>
      <c r="R4" t="s">
        <v>1184</v>
      </c>
    </row>
    <row r="5" spans="2:18" x14ac:dyDescent="0.3">
      <c r="B5" s="4" t="s">
        <v>1190</v>
      </c>
      <c r="C5" s="2">
        <v>3848144.5671000001</v>
      </c>
      <c r="D5" s="2">
        <v>3968409.37</v>
      </c>
      <c r="Q5" s="4" t="s">
        <v>1216</v>
      </c>
      <c r="R5" s="2">
        <v>27295399.749999996</v>
      </c>
    </row>
    <row r="6" spans="2:18" x14ac:dyDescent="0.3">
      <c r="B6" s="4" t="s">
        <v>1191</v>
      </c>
      <c r="C6" s="2">
        <v>4021305.7800000003</v>
      </c>
      <c r="D6" s="2">
        <v>4123499.6399999997</v>
      </c>
      <c r="Q6" s="4" t="s">
        <v>1215</v>
      </c>
      <c r="R6" s="2">
        <v>27654126.531899996</v>
      </c>
    </row>
    <row r="7" spans="2:18" x14ac:dyDescent="0.3">
      <c r="B7" s="4" t="s">
        <v>1192</v>
      </c>
      <c r="C7" s="2">
        <v>4413027.9218999995</v>
      </c>
      <c r="D7" s="2">
        <v>5255768.6700000018</v>
      </c>
      <c r="Q7" s="4" t="s">
        <v>1214</v>
      </c>
      <c r="R7" s="2">
        <v>30068282.908400025</v>
      </c>
    </row>
    <row r="8" spans="2:18" x14ac:dyDescent="0.3">
      <c r="B8" s="4" t="s">
        <v>1173</v>
      </c>
      <c r="C8" s="2">
        <v>4367704.84</v>
      </c>
      <c r="D8" s="2">
        <v>5472819.6800000006</v>
      </c>
      <c r="Q8" s="4" t="s">
        <v>1217</v>
      </c>
      <c r="R8" s="2">
        <v>28317289.914200004</v>
      </c>
    </row>
    <row r="9" spans="2:18" x14ac:dyDescent="0.3">
      <c r="B9" s="4" t="s">
        <v>1193</v>
      </c>
      <c r="C9" s="2">
        <v>5612950.2104000011</v>
      </c>
      <c r="D9" s="2">
        <v>5689890.6999999983</v>
      </c>
    </row>
    <row r="10" spans="2:18" x14ac:dyDescent="0.3">
      <c r="B10" s="4" t="s">
        <v>1194</v>
      </c>
      <c r="C10" s="2">
        <v>4840472.8</v>
      </c>
      <c r="D10" s="2">
        <v>4653499.0680000009</v>
      </c>
    </row>
    <row r="11" spans="2:18" x14ac:dyDescent="0.3">
      <c r="B11" s="4" t="s">
        <v>1195</v>
      </c>
      <c r="C11" s="2">
        <v>4390216.84</v>
      </c>
      <c r="D11" s="2">
        <v>4881253.290000001</v>
      </c>
    </row>
    <row r="12" spans="2:18" x14ac:dyDescent="0.3">
      <c r="B12" s="4" t="s">
        <v>1196</v>
      </c>
      <c r="C12" s="2">
        <v>6157960.7699999986</v>
      </c>
      <c r="D12" s="2">
        <v>4822432.59</v>
      </c>
    </row>
    <row r="13" spans="2:18" x14ac:dyDescent="0.3">
      <c r="B13" s="4" t="s">
        <v>1197</v>
      </c>
      <c r="C13" s="2">
        <v>4117682.3699999992</v>
      </c>
      <c r="D13" s="2">
        <v>3751915.9999999991</v>
      </c>
    </row>
    <row r="14" spans="2:18" x14ac:dyDescent="0.3">
      <c r="B14" s="4" t="s">
        <v>1198</v>
      </c>
      <c r="C14" s="2">
        <v>4036842.8100000005</v>
      </c>
      <c r="D14" s="2">
        <v>4408565.21</v>
      </c>
    </row>
    <row r="15" spans="2:18" x14ac:dyDescent="0.3">
      <c r="B15" s="4" t="s">
        <v>1199</v>
      </c>
      <c r="C15" s="2">
        <v>6204280.7400000002</v>
      </c>
      <c r="D15" s="2">
        <v>5166545.677099999</v>
      </c>
    </row>
    <row r="18" spans="2:18" x14ac:dyDescent="0.3">
      <c r="B18" s="3" t="s">
        <v>1205</v>
      </c>
      <c r="C18" s="3" t="s">
        <v>1186</v>
      </c>
    </row>
    <row r="19" spans="2:18" x14ac:dyDescent="0.3">
      <c r="B19" s="3" t="s">
        <v>1185</v>
      </c>
      <c r="C19" t="s">
        <v>1187</v>
      </c>
      <c r="D19" t="s">
        <v>1188</v>
      </c>
    </row>
    <row r="20" spans="2:18" x14ac:dyDescent="0.3">
      <c r="B20" s="4" t="s">
        <v>1189</v>
      </c>
      <c r="C20" s="9">
        <v>45</v>
      </c>
      <c r="D20" s="9">
        <v>45</v>
      </c>
    </row>
    <row r="21" spans="2:18" x14ac:dyDescent="0.3">
      <c r="B21" s="4" t="s">
        <v>1190</v>
      </c>
      <c r="C21" s="9">
        <v>38</v>
      </c>
      <c r="D21" s="9">
        <v>39</v>
      </c>
      <c r="Q21" s="3" t="s">
        <v>1209</v>
      </c>
      <c r="R21" t="s">
        <v>1184</v>
      </c>
    </row>
    <row r="22" spans="2:18" x14ac:dyDescent="0.3">
      <c r="B22" s="4" t="s">
        <v>1191</v>
      </c>
      <c r="C22" s="9">
        <v>46</v>
      </c>
      <c r="D22" s="9">
        <v>43</v>
      </c>
      <c r="Q22" s="4" t="s">
        <v>22</v>
      </c>
      <c r="R22" s="2">
        <v>27796361.829999994</v>
      </c>
    </row>
    <row r="23" spans="2:18" x14ac:dyDescent="0.3">
      <c r="B23" s="4" t="s">
        <v>1192</v>
      </c>
      <c r="C23" s="9">
        <v>40</v>
      </c>
      <c r="D23" s="9">
        <v>42</v>
      </c>
      <c r="Q23" s="4" t="s">
        <v>17</v>
      </c>
      <c r="R23" s="2">
        <v>25900678.420000006</v>
      </c>
    </row>
    <row r="24" spans="2:18" x14ac:dyDescent="0.3">
      <c r="B24" s="4" t="s">
        <v>1173</v>
      </c>
      <c r="C24" s="9">
        <v>38</v>
      </c>
      <c r="D24" s="9">
        <v>54</v>
      </c>
      <c r="Q24" s="4" t="s">
        <v>10</v>
      </c>
      <c r="R24" s="2">
        <v>19589451.761900004</v>
      </c>
    </row>
    <row r="25" spans="2:18" x14ac:dyDescent="0.3">
      <c r="B25" s="4" t="s">
        <v>1193</v>
      </c>
      <c r="C25" s="9">
        <v>40</v>
      </c>
      <c r="D25" s="9">
        <v>42</v>
      </c>
      <c r="Q25" s="4" t="s">
        <v>34</v>
      </c>
      <c r="R25" s="2">
        <v>12236276.287099997</v>
      </c>
    </row>
    <row r="26" spans="2:18" x14ac:dyDescent="0.3">
      <c r="B26" s="4" t="s">
        <v>1194</v>
      </c>
      <c r="C26" s="9">
        <v>34</v>
      </c>
      <c r="D26" s="9">
        <v>39</v>
      </c>
      <c r="Q26" s="4" t="s">
        <v>129</v>
      </c>
      <c r="R26" s="2">
        <v>5429839.7770999996</v>
      </c>
    </row>
    <row r="27" spans="2:18" x14ac:dyDescent="0.3">
      <c r="B27" s="4" t="s">
        <v>1195</v>
      </c>
      <c r="C27" s="9">
        <v>40</v>
      </c>
      <c r="D27" s="9">
        <v>45</v>
      </c>
      <c r="Q27" s="4" t="s">
        <v>151</v>
      </c>
      <c r="R27" s="2">
        <v>4952284.709999999</v>
      </c>
    </row>
    <row r="28" spans="2:18" x14ac:dyDescent="0.3">
      <c r="B28" s="4" t="s">
        <v>1196</v>
      </c>
      <c r="C28" s="9">
        <v>55</v>
      </c>
      <c r="D28" s="9">
        <v>42</v>
      </c>
      <c r="Q28" s="4" t="s">
        <v>122</v>
      </c>
      <c r="R28" s="2">
        <v>3482144.6399999987</v>
      </c>
    </row>
    <row r="29" spans="2:18" x14ac:dyDescent="0.3">
      <c r="B29" s="4" t="s">
        <v>1197</v>
      </c>
      <c r="C29" s="9">
        <v>41</v>
      </c>
      <c r="D29" s="9">
        <v>38</v>
      </c>
      <c r="Q29" s="4" t="s">
        <v>216</v>
      </c>
      <c r="R29" s="2">
        <v>3351865.2279999997</v>
      </c>
    </row>
    <row r="30" spans="2:18" x14ac:dyDescent="0.3">
      <c r="B30" s="4" t="s">
        <v>1198</v>
      </c>
      <c r="C30" s="9">
        <v>38</v>
      </c>
      <c r="D30" s="9">
        <v>41</v>
      </c>
      <c r="Q30" s="4" t="s">
        <v>66</v>
      </c>
      <c r="R30" s="2">
        <v>2913550.4</v>
      </c>
    </row>
    <row r="31" spans="2:18" x14ac:dyDescent="0.3">
      <c r="B31" s="4" t="s">
        <v>1199</v>
      </c>
      <c r="C31" s="9">
        <v>36</v>
      </c>
      <c r="D31" s="9">
        <v>40</v>
      </c>
      <c r="Q31" s="4" t="s">
        <v>54</v>
      </c>
      <c r="R31" s="2">
        <v>2794048.5300000003</v>
      </c>
    </row>
    <row r="32" spans="2:18" x14ac:dyDescent="0.3">
      <c r="Q32" s="4" t="s">
        <v>143</v>
      </c>
      <c r="R32" s="2">
        <v>2390688.4003999997</v>
      </c>
    </row>
    <row r="33" spans="2:18" x14ac:dyDescent="0.3">
      <c r="Q33" s="4" t="s">
        <v>39</v>
      </c>
      <c r="R33" s="2">
        <v>935569.3</v>
      </c>
    </row>
    <row r="34" spans="2:18" x14ac:dyDescent="0.3">
      <c r="B34" s="3" t="s">
        <v>1206</v>
      </c>
      <c r="C34" s="3" t="s">
        <v>1186</v>
      </c>
      <c r="Q34" s="4" t="s">
        <v>169</v>
      </c>
      <c r="R34" s="2">
        <v>763203.51</v>
      </c>
    </row>
    <row r="35" spans="2:18" x14ac:dyDescent="0.3">
      <c r="B35" s="3" t="s">
        <v>1185</v>
      </c>
      <c r="C35" t="s">
        <v>1187</v>
      </c>
      <c r="D35" t="s">
        <v>1188</v>
      </c>
      <c r="Q35" s="4" t="s">
        <v>247</v>
      </c>
      <c r="R35" s="2">
        <v>608969.96</v>
      </c>
    </row>
    <row r="36" spans="2:18" x14ac:dyDescent="0.3">
      <c r="B36" s="4" t="s">
        <v>1189</v>
      </c>
      <c r="C36" s="9">
        <v>25</v>
      </c>
      <c r="D36" s="9">
        <v>33</v>
      </c>
      <c r="Q36" s="4" t="s">
        <v>513</v>
      </c>
      <c r="R36" s="2">
        <v>190166.35</v>
      </c>
    </row>
    <row r="37" spans="2:18" x14ac:dyDescent="0.3">
      <c r="B37" s="4" t="s">
        <v>1190</v>
      </c>
      <c r="C37" s="9">
        <v>22</v>
      </c>
      <c r="D37" s="9">
        <v>25</v>
      </c>
    </row>
    <row r="38" spans="2:18" x14ac:dyDescent="0.3">
      <c r="B38" s="4" t="s">
        <v>1191</v>
      </c>
      <c r="C38" s="9">
        <v>29</v>
      </c>
      <c r="D38" s="9">
        <v>31</v>
      </c>
    </row>
    <row r="39" spans="2:18" x14ac:dyDescent="0.3">
      <c r="B39" s="4" t="s">
        <v>1192</v>
      </c>
      <c r="C39" s="9">
        <v>25</v>
      </c>
      <c r="D39" s="9">
        <v>30</v>
      </c>
    </row>
    <row r="40" spans="2:18" x14ac:dyDescent="0.3">
      <c r="B40" s="4" t="s">
        <v>1173</v>
      </c>
      <c r="C40" s="9">
        <v>26</v>
      </c>
      <c r="D40" s="9">
        <v>33</v>
      </c>
    </row>
    <row r="41" spans="2:18" x14ac:dyDescent="0.3">
      <c r="B41" s="4" t="s">
        <v>1193</v>
      </c>
      <c r="C41" s="9">
        <v>27</v>
      </c>
      <c r="D41" s="9">
        <v>29</v>
      </c>
    </row>
    <row r="42" spans="2:18" x14ac:dyDescent="0.3">
      <c r="B42" s="4" t="s">
        <v>1194</v>
      </c>
      <c r="C42" s="9">
        <v>25</v>
      </c>
      <c r="D42" s="9">
        <v>26</v>
      </c>
    </row>
    <row r="43" spans="2:18" x14ac:dyDescent="0.3">
      <c r="B43" s="4" t="s">
        <v>1195</v>
      </c>
      <c r="C43" s="9">
        <v>29</v>
      </c>
      <c r="D43" s="9">
        <v>32</v>
      </c>
    </row>
    <row r="44" spans="2:18" x14ac:dyDescent="0.3">
      <c r="B44" s="4" t="s">
        <v>1196</v>
      </c>
      <c r="C44" s="9">
        <v>31</v>
      </c>
      <c r="D44" s="9">
        <v>27</v>
      </c>
    </row>
    <row r="45" spans="2:18" x14ac:dyDescent="0.3">
      <c r="B45" s="4" t="s">
        <v>1197</v>
      </c>
      <c r="C45" s="9">
        <v>28</v>
      </c>
      <c r="D45" s="9">
        <v>28</v>
      </c>
    </row>
    <row r="46" spans="2:18" x14ac:dyDescent="0.3">
      <c r="B46" s="4" t="s">
        <v>1198</v>
      </c>
      <c r="C46" s="9">
        <v>23</v>
      </c>
      <c r="D46" s="9">
        <v>25</v>
      </c>
    </row>
    <row r="47" spans="2:18" x14ac:dyDescent="0.3">
      <c r="B47" s="4" t="s">
        <v>1199</v>
      </c>
      <c r="C47" s="9">
        <v>24</v>
      </c>
      <c r="D47" s="9">
        <v>25</v>
      </c>
    </row>
    <row r="50" spans="2:18" x14ac:dyDescent="0.3">
      <c r="B50" s="3" t="s">
        <v>1200</v>
      </c>
      <c r="C50" s="3" t="s">
        <v>1186</v>
      </c>
    </row>
    <row r="51" spans="2:18" x14ac:dyDescent="0.3">
      <c r="B51" s="3" t="s">
        <v>1185</v>
      </c>
      <c r="C51" t="s">
        <v>1187</v>
      </c>
      <c r="D51" t="s">
        <v>1188</v>
      </c>
    </row>
    <row r="52" spans="2:18" x14ac:dyDescent="0.3">
      <c r="B52" s="4" t="s">
        <v>1189</v>
      </c>
      <c r="C52" s="2">
        <v>765657.30999999959</v>
      </c>
      <c r="D52" s="2">
        <v>808444.22000000067</v>
      </c>
    </row>
    <row r="53" spans="2:18" x14ac:dyDescent="0.3">
      <c r="B53" s="4" t="s">
        <v>1190</v>
      </c>
      <c r="C53" s="2">
        <v>686173.87710000016</v>
      </c>
      <c r="D53" s="2">
        <v>637509.71000000043</v>
      </c>
    </row>
    <row r="54" spans="2:18" x14ac:dyDescent="0.3">
      <c r="B54" s="4" t="s">
        <v>1191</v>
      </c>
      <c r="C54" s="2">
        <v>683666.98</v>
      </c>
      <c r="D54" s="2">
        <v>674357.22999999905</v>
      </c>
    </row>
    <row r="55" spans="2:18" x14ac:dyDescent="0.3">
      <c r="B55" s="4" t="s">
        <v>1192</v>
      </c>
      <c r="C55" s="2">
        <v>696930.05189999845</v>
      </c>
      <c r="D55" s="2">
        <v>898614.06000000145</v>
      </c>
    </row>
    <row r="56" spans="2:18" x14ac:dyDescent="0.3">
      <c r="B56" s="4" t="s">
        <v>1173</v>
      </c>
      <c r="C56" s="2">
        <v>761862.77</v>
      </c>
      <c r="D56" s="2">
        <v>905353.12999999989</v>
      </c>
      <c r="Q56" s="3" t="s">
        <v>1209</v>
      </c>
      <c r="R56" t="s">
        <v>1210</v>
      </c>
    </row>
    <row r="57" spans="2:18" x14ac:dyDescent="0.3">
      <c r="B57" s="4" t="s">
        <v>1193</v>
      </c>
      <c r="C57" s="2">
        <v>877540.57040000055</v>
      </c>
      <c r="D57" s="2">
        <v>955440.99999999721</v>
      </c>
      <c r="Q57" s="4" t="s">
        <v>22</v>
      </c>
      <c r="R57" s="2">
        <v>4625386.7910999991</v>
      </c>
    </row>
    <row r="58" spans="2:18" x14ac:dyDescent="0.3">
      <c r="B58" s="4" t="s">
        <v>1194</v>
      </c>
      <c r="C58" s="2">
        <v>798487.89999999804</v>
      </c>
      <c r="D58" s="2">
        <v>861529.62800000096</v>
      </c>
      <c r="Q58" s="4" t="s">
        <v>17</v>
      </c>
      <c r="R58" s="2">
        <v>4335004.57</v>
      </c>
    </row>
    <row r="59" spans="2:18" x14ac:dyDescent="0.3">
      <c r="B59" s="4" t="s">
        <v>1195</v>
      </c>
      <c r="C59" s="2">
        <v>739654.40999999922</v>
      </c>
      <c r="D59" s="2">
        <v>807172.71000000043</v>
      </c>
      <c r="Q59" s="4" t="s">
        <v>10</v>
      </c>
      <c r="R59" s="2">
        <v>3245764.361899999</v>
      </c>
    </row>
    <row r="60" spans="2:18" x14ac:dyDescent="0.3">
      <c r="B60" s="4" t="s">
        <v>1196</v>
      </c>
      <c r="C60" s="2">
        <v>965758.9599999981</v>
      </c>
      <c r="D60" s="2">
        <v>829285.73</v>
      </c>
      <c r="Q60" s="4" t="s">
        <v>34</v>
      </c>
      <c r="R60" s="2">
        <v>2116680.6670999993</v>
      </c>
    </row>
    <row r="61" spans="2:18" x14ac:dyDescent="0.3">
      <c r="B61" s="4" t="s">
        <v>1197</v>
      </c>
      <c r="C61" s="2">
        <v>687589.53999999957</v>
      </c>
      <c r="D61" s="2">
        <v>655510.78999999957</v>
      </c>
      <c r="Q61" s="4" t="s">
        <v>151</v>
      </c>
      <c r="R61" s="2">
        <v>829311.98999999987</v>
      </c>
    </row>
    <row r="62" spans="2:18" x14ac:dyDescent="0.3">
      <c r="B62" s="4" t="s">
        <v>1198</v>
      </c>
      <c r="C62" s="2">
        <v>585902.56110000098</v>
      </c>
      <c r="D62" s="2">
        <v>738544.74999999953</v>
      </c>
      <c r="Q62" s="4" t="s">
        <v>129</v>
      </c>
      <c r="R62" s="2">
        <v>781089.78710000007</v>
      </c>
    </row>
    <row r="63" spans="2:18" x14ac:dyDescent="0.3">
      <c r="B63" s="4" t="s">
        <v>1199</v>
      </c>
      <c r="C63" s="2">
        <v>1101654.58</v>
      </c>
      <c r="D63" s="2">
        <v>742392.03709999938</v>
      </c>
      <c r="Q63" s="4" t="s">
        <v>216</v>
      </c>
      <c r="R63" s="2">
        <v>652766.52800000005</v>
      </c>
    </row>
    <row r="64" spans="2:18" x14ac:dyDescent="0.3">
      <c r="Q64" s="4" t="s">
        <v>122</v>
      </c>
      <c r="R64" s="2">
        <v>605403.12</v>
      </c>
    </row>
    <row r="65" spans="3:20" x14ac:dyDescent="0.3">
      <c r="Q65" s="4" t="s">
        <v>66</v>
      </c>
      <c r="R65" s="2">
        <v>482566.46</v>
      </c>
    </row>
    <row r="66" spans="3:20" x14ac:dyDescent="0.3">
      <c r="Q66" s="4" t="s">
        <v>54</v>
      </c>
      <c r="R66" s="2">
        <v>465958.35000000009</v>
      </c>
    </row>
    <row r="67" spans="3:20" x14ac:dyDescent="0.3">
      <c r="Q67" s="4" t="s">
        <v>143</v>
      </c>
      <c r="R67" s="2">
        <v>306138.89039999997</v>
      </c>
    </row>
    <row r="68" spans="3:20" x14ac:dyDescent="0.3">
      <c r="C68" t="s">
        <v>1200</v>
      </c>
      <c r="D68" t="s">
        <v>1201</v>
      </c>
      <c r="E68" t="s">
        <v>1205</v>
      </c>
      <c r="F68" t="s">
        <v>1206</v>
      </c>
      <c r="G68" t="s">
        <v>1184</v>
      </c>
      <c r="Q68" s="4" t="s">
        <v>39</v>
      </c>
      <c r="R68" s="2">
        <v>155458.63000000003</v>
      </c>
    </row>
    <row r="69" spans="3:20" x14ac:dyDescent="0.3">
      <c r="C69" s="2">
        <v>18865034.50559999</v>
      </c>
      <c r="D69" s="5">
        <v>0.1664535934115661</v>
      </c>
      <c r="E69" s="9">
        <v>1001</v>
      </c>
      <c r="F69" s="9">
        <v>75</v>
      </c>
      <c r="G69" s="2">
        <v>113335099.1045</v>
      </c>
      <c r="J69" s="6"/>
      <c r="Q69" s="4" t="s">
        <v>169</v>
      </c>
      <c r="R69" s="2">
        <v>133352.69999999998</v>
      </c>
    </row>
    <row r="70" spans="3:20" x14ac:dyDescent="0.3">
      <c r="J70" s="6"/>
      <c r="Q70" s="4" t="s">
        <v>247</v>
      </c>
      <c r="R70" s="2">
        <v>94433.280000000013</v>
      </c>
    </row>
    <row r="71" spans="3:20" x14ac:dyDescent="0.3">
      <c r="J71" s="7"/>
      <c r="Q71" s="4" t="s">
        <v>513</v>
      </c>
      <c r="R71" s="2">
        <v>35718.379999999997</v>
      </c>
    </row>
    <row r="72" spans="3:20" x14ac:dyDescent="0.3">
      <c r="J72" s="7"/>
      <c r="S72" s="3" t="s">
        <v>1209</v>
      </c>
      <c r="T72" t="s">
        <v>1211</v>
      </c>
    </row>
    <row r="73" spans="3:20" x14ac:dyDescent="0.3">
      <c r="J73" s="7"/>
      <c r="S73" s="4" t="s">
        <v>66</v>
      </c>
      <c r="T73" s="8">
        <v>132434.1090909091</v>
      </c>
    </row>
    <row r="74" spans="3:20" x14ac:dyDescent="0.3">
      <c r="S74" s="4" t="s">
        <v>129</v>
      </c>
      <c r="T74" s="8">
        <v>123405.44947954545</v>
      </c>
    </row>
    <row r="75" spans="3:20" x14ac:dyDescent="0.3">
      <c r="S75" s="4" t="s">
        <v>34</v>
      </c>
      <c r="T75" s="8">
        <v>119963.49301078428</v>
      </c>
    </row>
    <row r="76" spans="3:20" x14ac:dyDescent="0.3">
      <c r="S76" s="4" t="s">
        <v>216</v>
      </c>
      <c r="T76" s="8">
        <v>119709.47242857142</v>
      </c>
    </row>
    <row r="77" spans="3:20" x14ac:dyDescent="0.3">
      <c r="M77" s="3" t="s">
        <v>1219</v>
      </c>
      <c r="N77" t="s">
        <v>1200</v>
      </c>
      <c r="S77" s="4" t="s">
        <v>54</v>
      </c>
      <c r="T77" s="8">
        <v>116418.68875000002</v>
      </c>
    </row>
    <row r="78" spans="3:20" x14ac:dyDescent="0.3">
      <c r="D78" s="6"/>
      <c r="M78" s="4" t="s">
        <v>40</v>
      </c>
      <c r="N78" s="2">
        <v>2950943.2550999876</v>
      </c>
      <c r="S78" s="4" t="s">
        <v>22</v>
      </c>
      <c r="T78" s="8">
        <v>116302.7691631799</v>
      </c>
    </row>
    <row r="79" spans="3:20" x14ac:dyDescent="0.3">
      <c r="D79" s="6"/>
      <c r="M79" s="4" t="s">
        <v>11</v>
      </c>
      <c r="N79" s="2">
        <v>2523021.2010999862</v>
      </c>
      <c r="S79" s="4" t="s">
        <v>122</v>
      </c>
      <c r="T79" s="8">
        <v>116071.48799999995</v>
      </c>
    </row>
    <row r="80" spans="3:20" x14ac:dyDescent="0.3">
      <c r="D80" s="7"/>
      <c r="M80" s="4" t="s">
        <v>29</v>
      </c>
      <c r="N80" s="2">
        <v>2401133</v>
      </c>
      <c r="S80" s="4" t="s">
        <v>151</v>
      </c>
      <c r="T80" s="8">
        <v>115169.41186046509</v>
      </c>
    </row>
    <row r="81" spans="4:20" x14ac:dyDescent="0.3">
      <c r="D81" s="7"/>
      <c r="M81" s="4" t="s">
        <v>23</v>
      </c>
      <c r="N81" s="2">
        <v>2378575.5223000087</v>
      </c>
      <c r="S81" s="4" t="s">
        <v>17</v>
      </c>
      <c r="T81" s="8">
        <v>111640.85525862071</v>
      </c>
    </row>
    <row r="82" spans="4:20" x14ac:dyDescent="0.3">
      <c r="D82" s="7"/>
      <c r="M82" s="4" t="s">
        <v>91</v>
      </c>
      <c r="N82" s="2">
        <v>2225913.8800000027</v>
      </c>
      <c r="S82" s="4" t="s">
        <v>10</v>
      </c>
      <c r="T82" s="8">
        <v>107634.35034010992</v>
      </c>
    </row>
    <row r="83" spans="4:20" x14ac:dyDescent="0.3">
      <c r="M83" s="4" t="s">
        <v>76</v>
      </c>
      <c r="N83" s="2">
        <v>2118427.4299999978</v>
      </c>
      <c r="S83" s="4" t="s">
        <v>247</v>
      </c>
      <c r="T83" s="8">
        <v>101494.99333333333</v>
      </c>
    </row>
    <row r="84" spans="4:20" x14ac:dyDescent="0.3">
      <c r="M84" s="4" t="s">
        <v>51</v>
      </c>
      <c r="N84" s="2">
        <v>1877327.6671000011</v>
      </c>
      <c r="S84" s="4" t="s">
        <v>513</v>
      </c>
      <c r="T84" s="8">
        <v>95083.175000000003</v>
      </c>
    </row>
    <row r="85" spans="4:20" x14ac:dyDescent="0.3">
      <c r="M85" s="4" t="s">
        <v>181</v>
      </c>
      <c r="N85" s="2">
        <v>1056762.5099999988</v>
      </c>
      <c r="S85" s="4" t="s">
        <v>39</v>
      </c>
      <c r="T85" s="8">
        <v>93556.930000000008</v>
      </c>
    </row>
    <row r="86" spans="4:20" x14ac:dyDescent="0.3">
      <c r="M86" s="4" t="s">
        <v>55</v>
      </c>
      <c r="N86" s="2">
        <v>783896.33000000054</v>
      </c>
      <c r="S86" s="4" t="s">
        <v>143</v>
      </c>
      <c r="T86" s="8">
        <v>91949.553861538443</v>
      </c>
    </row>
    <row r="87" spans="4:20" x14ac:dyDescent="0.3">
      <c r="M87" s="4" t="s">
        <v>99</v>
      </c>
      <c r="N87" s="2">
        <v>549033.71</v>
      </c>
      <c r="S87" s="4" t="s">
        <v>169</v>
      </c>
      <c r="T87" s="8">
        <v>69382.137272727268</v>
      </c>
    </row>
    <row r="100" spans="17:18" x14ac:dyDescent="0.3">
      <c r="Q100" s="3" t="s">
        <v>1219</v>
      </c>
      <c r="R100" t="s">
        <v>1201</v>
      </c>
    </row>
    <row r="101" spans="17:18" x14ac:dyDescent="0.3">
      <c r="Q101" s="4" t="s">
        <v>181</v>
      </c>
      <c r="R101" s="5">
        <v>0.17793384183717306</v>
      </c>
    </row>
    <row r="102" spans="17:18" x14ac:dyDescent="0.3">
      <c r="Q102" s="4" t="s">
        <v>91</v>
      </c>
      <c r="R102" s="5">
        <v>0.16888599723023856</v>
      </c>
    </row>
    <row r="103" spans="17:18" x14ac:dyDescent="0.3">
      <c r="Q103" s="4" t="s">
        <v>76</v>
      </c>
      <c r="R103" s="5">
        <v>0.16854297585127706</v>
      </c>
    </row>
    <row r="104" spans="17:18" x14ac:dyDescent="0.3">
      <c r="Q104" s="4" t="s">
        <v>99</v>
      </c>
      <c r="R104" s="5">
        <v>0.16826127391645779</v>
      </c>
    </row>
    <row r="105" spans="17:18" x14ac:dyDescent="0.3">
      <c r="Q105" s="4" t="s">
        <v>51</v>
      </c>
      <c r="R105" s="5">
        <v>0.16824443101130876</v>
      </c>
    </row>
    <row r="106" spans="17:18" x14ac:dyDescent="0.3">
      <c r="Q106" s="4" t="s">
        <v>40</v>
      </c>
      <c r="R106" s="5">
        <v>0.16699651834811613</v>
      </c>
    </row>
    <row r="107" spans="17:18" x14ac:dyDescent="0.3">
      <c r="Q107" s="4" t="s">
        <v>55</v>
      </c>
      <c r="R107" s="5">
        <v>0.1666470830448247</v>
      </c>
    </row>
    <row r="108" spans="17:18" x14ac:dyDescent="0.3">
      <c r="Q108" s="4" t="s">
        <v>29</v>
      </c>
      <c r="R108" s="5">
        <v>0.1658003128421294</v>
      </c>
    </row>
    <row r="109" spans="17:18" x14ac:dyDescent="0.3">
      <c r="Q109" s="4" t="s">
        <v>11</v>
      </c>
      <c r="R109" s="5">
        <v>0.16398585643557645</v>
      </c>
    </row>
    <row r="110" spans="17:18" x14ac:dyDescent="0.3">
      <c r="Q110" s="4" t="s">
        <v>23</v>
      </c>
      <c r="R110" s="5">
        <v>0.15874775367363642</v>
      </c>
    </row>
    <row r="114" spans="17:18" x14ac:dyDescent="0.3">
      <c r="Q114" s="3" t="s">
        <v>1221</v>
      </c>
      <c r="R114" t="s">
        <v>1184</v>
      </c>
    </row>
    <row r="115" spans="17:18" x14ac:dyDescent="0.3">
      <c r="Q115" s="4" t="s">
        <v>27</v>
      </c>
      <c r="R115" s="2">
        <v>89424895.024099991</v>
      </c>
    </row>
    <row r="116" spans="17:18" x14ac:dyDescent="0.3">
      <c r="Q116" s="4" t="s">
        <v>32</v>
      </c>
      <c r="R116" s="2">
        <v>15338843.260400005</v>
      </c>
    </row>
    <row r="117" spans="17:18" x14ac:dyDescent="0.3">
      <c r="Q117" s="4" t="s">
        <v>15</v>
      </c>
      <c r="R117" s="2">
        <v>8267060.5300000003</v>
      </c>
    </row>
    <row r="118" spans="17:18" x14ac:dyDescent="0.3">
      <c r="Q118" s="4" t="s">
        <v>1183</v>
      </c>
      <c r="R118" s="2">
        <v>304300.28999999998</v>
      </c>
    </row>
    <row r="128" spans="17:18" x14ac:dyDescent="0.3">
      <c r="Q128" s="3" t="s">
        <v>1221</v>
      </c>
      <c r="R128" t="s">
        <v>1200</v>
      </c>
    </row>
    <row r="129" spans="17:18" x14ac:dyDescent="0.3">
      <c r="Q129" s="4" t="s">
        <v>27</v>
      </c>
      <c r="R129" s="2">
        <v>15022309.365199924</v>
      </c>
    </row>
    <row r="130" spans="17:18" x14ac:dyDescent="0.3">
      <c r="Q130" s="4" t="s">
        <v>32</v>
      </c>
      <c r="R130" s="2">
        <v>2444163.2004000023</v>
      </c>
    </row>
    <row r="131" spans="17:18" x14ac:dyDescent="0.3">
      <c r="Q131" s="4" t="s">
        <v>15</v>
      </c>
      <c r="R131" s="2">
        <v>1351415.1499999985</v>
      </c>
    </row>
    <row r="132" spans="17:18" x14ac:dyDescent="0.3">
      <c r="Q132" s="4" t="s">
        <v>1183</v>
      </c>
      <c r="R132" s="2">
        <v>47146.789999999979</v>
      </c>
    </row>
    <row r="148" spans="17:18" x14ac:dyDescent="0.3">
      <c r="Q148" s="3" t="s">
        <v>1220</v>
      </c>
      <c r="R148" t="s">
        <v>1184</v>
      </c>
    </row>
    <row r="149" spans="17:18" x14ac:dyDescent="0.3">
      <c r="Q149" s="4" t="s">
        <v>217</v>
      </c>
      <c r="R149" s="2">
        <v>3351865.2279999997</v>
      </c>
    </row>
    <row r="150" spans="17:18" x14ac:dyDescent="0.3">
      <c r="Q150" s="4" t="s">
        <v>25</v>
      </c>
      <c r="R150" s="2">
        <v>27796361.829999994</v>
      </c>
    </row>
    <row r="151" spans="17:18" x14ac:dyDescent="0.3">
      <c r="Q151" s="4" t="s">
        <v>152</v>
      </c>
      <c r="R151" s="2">
        <v>4952284.709999999</v>
      </c>
    </row>
    <row r="152" spans="17:18" x14ac:dyDescent="0.3">
      <c r="Q152" s="4" t="s">
        <v>130</v>
      </c>
      <c r="R152" s="2">
        <v>5429839.7770999996</v>
      </c>
    </row>
    <row r="153" spans="17:18" x14ac:dyDescent="0.3">
      <c r="Q153" s="4" t="s">
        <v>36</v>
      </c>
      <c r="R153" s="2">
        <v>12236276.287099997</v>
      </c>
    </row>
    <row r="154" spans="17:18" x14ac:dyDescent="0.3">
      <c r="Q154" s="4" t="s">
        <v>13</v>
      </c>
      <c r="R154" s="2">
        <v>19589451.761900004</v>
      </c>
    </row>
    <row r="155" spans="17:18" x14ac:dyDescent="0.3">
      <c r="Q155" s="4" t="s">
        <v>19</v>
      </c>
      <c r="R155" s="2">
        <v>25900678.420000006</v>
      </c>
    </row>
    <row r="156" spans="17:18" x14ac:dyDescent="0.3">
      <c r="Q156" s="4" t="s">
        <v>57</v>
      </c>
      <c r="R156" s="2">
        <v>2794048.5300000003</v>
      </c>
    </row>
    <row r="157" spans="17:18" x14ac:dyDescent="0.3">
      <c r="Q157" s="4" t="s">
        <v>123</v>
      </c>
      <c r="R157" s="2">
        <v>3482144.6399999987</v>
      </c>
    </row>
    <row r="158" spans="17:18" x14ac:dyDescent="0.3">
      <c r="Q158" s="4" t="s">
        <v>145</v>
      </c>
      <c r="R158" s="2">
        <v>2390688.4003999997</v>
      </c>
    </row>
    <row r="159" spans="17:18" x14ac:dyDescent="0.3">
      <c r="Q159" s="4" t="s">
        <v>171</v>
      </c>
      <c r="R159" s="2">
        <v>763203.51</v>
      </c>
    </row>
    <row r="160" spans="17:18" x14ac:dyDescent="0.3">
      <c r="Q160" s="4" t="s">
        <v>68</v>
      </c>
      <c r="R160" s="2">
        <v>2913550.4</v>
      </c>
    </row>
    <row r="161" spans="17:18" x14ac:dyDescent="0.3">
      <c r="Q161" s="4" t="s">
        <v>248</v>
      </c>
      <c r="R161" s="2">
        <v>608969.96</v>
      </c>
    </row>
    <row r="162" spans="17:18" x14ac:dyDescent="0.3">
      <c r="Q162" s="4" t="s">
        <v>514</v>
      </c>
      <c r="R162" s="2">
        <v>190166.35</v>
      </c>
    </row>
    <row r="163" spans="17:18" x14ac:dyDescent="0.3">
      <c r="Q163" s="4" t="s">
        <v>42</v>
      </c>
      <c r="R163" s="2">
        <v>935569.3</v>
      </c>
    </row>
    <row r="166" spans="17:18" x14ac:dyDescent="0.3">
      <c r="Q166" s="3" t="s">
        <v>1218</v>
      </c>
      <c r="R166" t="s">
        <v>1184</v>
      </c>
    </row>
    <row r="167" spans="17:18" x14ac:dyDescent="0.3">
      <c r="Q167" s="4" t="s">
        <v>26</v>
      </c>
      <c r="R167" s="2">
        <v>6897053.0299999975</v>
      </c>
    </row>
    <row r="168" spans="17:18" x14ac:dyDescent="0.3">
      <c r="Q168" s="4" t="s">
        <v>20</v>
      </c>
      <c r="R168" s="2">
        <v>6655160.1600000001</v>
      </c>
    </row>
    <row r="169" spans="17:18" x14ac:dyDescent="0.3">
      <c r="Q169" s="4" t="s">
        <v>63</v>
      </c>
      <c r="R169" s="2">
        <v>6160216.9699999988</v>
      </c>
    </row>
    <row r="170" spans="17:18" x14ac:dyDescent="0.3">
      <c r="Q170" s="4" t="s">
        <v>52</v>
      </c>
      <c r="R170" s="2">
        <v>5488553.1300000018</v>
      </c>
    </row>
    <row r="171" spans="17:18" x14ac:dyDescent="0.3">
      <c r="Q171" s="4" t="s">
        <v>157</v>
      </c>
      <c r="R171" s="2">
        <v>5238271.6499999994</v>
      </c>
    </row>
    <row r="194" spans="17:18" x14ac:dyDescent="0.3">
      <c r="Q194" s="3" t="s">
        <v>1222</v>
      </c>
      <c r="R194" t="s">
        <v>1184</v>
      </c>
    </row>
    <row r="195" spans="17:18" x14ac:dyDescent="0.3">
      <c r="Q195" s="4" t="s">
        <v>56</v>
      </c>
      <c r="R195" s="2">
        <v>16487457.757999998</v>
      </c>
    </row>
    <row r="196" spans="17:18" x14ac:dyDescent="0.3">
      <c r="Q196" s="4" t="s">
        <v>106</v>
      </c>
      <c r="R196" s="2">
        <v>6393868.6070999987</v>
      </c>
    </row>
    <row r="197" spans="17:18" x14ac:dyDescent="0.3">
      <c r="Q197" s="4" t="s">
        <v>92</v>
      </c>
      <c r="R197" s="2">
        <v>2706730.3200000003</v>
      </c>
    </row>
    <row r="198" spans="17:18" x14ac:dyDescent="0.3">
      <c r="Q198" s="4" t="s">
        <v>244</v>
      </c>
      <c r="R198" s="2">
        <v>2566549.9000000004</v>
      </c>
    </row>
    <row r="199" spans="17:18" x14ac:dyDescent="0.3">
      <c r="Q199" s="4" t="s">
        <v>97</v>
      </c>
      <c r="R199" s="2">
        <v>2524208.3399999994</v>
      </c>
    </row>
    <row r="200" spans="17:18" x14ac:dyDescent="0.3">
      <c r="Q200" s="4" t="s">
        <v>135</v>
      </c>
      <c r="R200" s="2">
        <v>2458381.8719000001</v>
      </c>
    </row>
    <row r="201" spans="17:18" x14ac:dyDescent="0.3">
      <c r="Q201" s="4" t="s">
        <v>45</v>
      </c>
      <c r="R201" s="2">
        <v>2426708.3999999994</v>
      </c>
    </row>
    <row r="202" spans="17:18" x14ac:dyDescent="0.3">
      <c r="Q202" s="4" t="s">
        <v>149</v>
      </c>
      <c r="R202" s="2">
        <v>2312524.9400000004</v>
      </c>
    </row>
    <row r="203" spans="17:18" x14ac:dyDescent="0.3">
      <c r="Q203" s="4" t="s">
        <v>18</v>
      </c>
      <c r="R203" s="2">
        <v>2277714.4299999997</v>
      </c>
    </row>
    <row r="204" spans="17:18" x14ac:dyDescent="0.3">
      <c r="Q204" s="4" t="s">
        <v>41</v>
      </c>
      <c r="R204" s="2">
        <v>2165264.9100000006</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64A4-2BA6-401B-8BF6-426DB06FCA9D}">
  <dimension ref="H42:X99"/>
  <sheetViews>
    <sheetView showRowColHeaders="0" tabSelected="1" zoomScale="55" zoomScaleNormal="55" workbookViewId="0">
      <selection activeCell="V83" sqref="V83"/>
    </sheetView>
  </sheetViews>
  <sheetFormatPr defaultRowHeight="14.4" x14ac:dyDescent="0.3"/>
  <cols>
    <col min="18" max="18" width="14.109375" bestFit="1" customWidth="1"/>
  </cols>
  <sheetData>
    <row r="42" spans="8:8" x14ac:dyDescent="0.3">
      <c r="H42" s="2"/>
    </row>
    <row r="83" spans="18:21" x14ac:dyDescent="0.3">
      <c r="S83" s="2"/>
    </row>
    <row r="85" spans="18:21" x14ac:dyDescent="0.3">
      <c r="U85" s="7"/>
    </row>
    <row r="86" spans="18:21" x14ac:dyDescent="0.3">
      <c r="U86" s="2"/>
    </row>
    <row r="90" spans="18:21" x14ac:dyDescent="0.3">
      <c r="R90" s="2"/>
      <c r="S90" s="2"/>
    </row>
    <row r="91" spans="18:21" x14ac:dyDescent="0.3">
      <c r="R91" s="2"/>
    </row>
    <row r="94" spans="18:21" x14ac:dyDescent="0.3">
      <c r="R94" s="2"/>
    </row>
    <row r="96" spans="18:21" x14ac:dyDescent="0.3">
      <c r="S96" s="2"/>
    </row>
    <row r="97" spans="17:24" x14ac:dyDescent="0.3">
      <c r="Q97" s="2"/>
    </row>
    <row r="99" spans="17:24" x14ac:dyDescent="0.3">
      <c r="X99"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Props1.xml><?xml version="1.0" encoding="utf-8"?>
<ds:datastoreItem xmlns:ds="http://schemas.openxmlformats.org/officeDocument/2006/customXml" ds:itemID="{505E2745-BDD5-4E3D-B565-0344DC8EB9B5}">
  <ds:schemaRefs/>
</ds:datastoreItem>
</file>

<file path=customXml/itemProps2.xml><?xml version="1.0" encoding="utf-8"?>
<ds:datastoreItem xmlns:ds="http://schemas.openxmlformats.org/officeDocument/2006/customXml" ds:itemID="{77E91F70-BDC6-49B7-AE5E-37DB90001966}">
  <ds:schemaRefs/>
</ds:datastoreItem>
</file>

<file path=customXml/itemProps3.xml><?xml version="1.0" encoding="utf-8"?>
<ds:datastoreItem xmlns:ds="http://schemas.openxmlformats.org/officeDocument/2006/customXml" ds:itemID="{66A20D7F-69EC-410B-832B-796E0C2DA192}">
  <ds:schemaRefs/>
</ds:datastoreItem>
</file>

<file path=customXml/itemProps4.xml><?xml version="1.0" encoding="utf-8"?>
<ds:datastoreItem xmlns:ds="http://schemas.openxmlformats.org/officeDocument/2006/customXml" ds:itemID="{77E950C1-D0D2-4B88-9D7C-33D68E7C305B}">
  <ds:schemaRefs/>
</ds:datastoreItem>
</file>

<file path=customXml/itemProps5.xml><?xml version="1.0" encoding="utf-8"?>
<ds:datastoreItem xmlns:ds="http://schemas.openxmlformats.org/officeDocument/2006/customXml" ds:itemID="{EF8336C7-D483-43E3-98B8-09E4A0C2D724}">
  <ds:schemaRefs/>
</ds:datastoreItem>
</file>

<file path=customXml/itemProps6.xml><?xml version="1.0" encoding="utf-8"?>
<ds:datastoreItem xmlns:ds="http://schemas.openxmlformats.org/officeDocument/2006/customXml" ds:itemID="{ADD15664-001B-45D8-AEA9-D59E561049AD}">
  <ds:schemaRefs/>
</ds:datastoreItem>
</file>

<file path=customXml/itemProps7.xml><?xml version="1.0" encoding="utf-8"?>
<ds:datastoreItem xmlns:ds="http://schemas.openxmlformats.org/officeDocument/2006/customXml" ds:itemID="{8356EF23-B0D0-4621-8C39-C37D75D5C5EA}">
  <ds:schemaRefs/>
</ds:datastoreItem>
</file>

<file path=customXml/itemProps8.xml><?xml version="1.0" encoding="utf-8"?>
<ds:datastoreItem xmlns:ds="http://schemas.openxmlformats.org/officeDocument/2006/customXml" ds:itemID="{0A783689-738E-4A97-9401-66A85BE2C5EF}">
  <ds:schemaRefs/>
</ds:datastoreItem>
</file>

<file path=customXml/itemProps9.xml><?xml version="1.0" encoding="utf-8"?>
<ds:datastoreItem xmlns:ds="http://schemas.openxmlformats.org/officeDocument/2006/customXml" ds:itemID="{8A07C365-900A-4E46-BE62-53A01CE0A9A9}">
  <ds:schemaRefs/>
</ds:datastoreItem>
</file>

<file path=customXml/itemProps10.xml><?xml version="1.0" encoding="utf-8"?>
<ds:datastoreItem xmlns:ds="http://schemas.openxmlformats.org/officeDocument/2006/customXml" ds:itemID="{713A10DF-7AE9-42D7-B45C-DB881BD89319}">
  <ds:schemaRefs/>
</ds:datastoreItem>
</file>

<file path=customXml/itemProps11.xml><?xml version="1.0" encoding="utf-8"?>
<ds:datastoreItem xmlns:ds="http://schemas.openxmlformats.org/officeDocument/2006/customXml" ds:itemID="{22FF916E-553C-4BDE-B205-90D66F96F995}">
  <ds:schemaRefs/>
</ds:datastoreItem>
</file>

<file path=customXml/itemProps12.xml><?xml version="1.0" encoding="utf-8"?>
<ds:datastoreItem xmlns:ds="http://schemas.openxmlformats.org/officeDocument/2006/customXml" ds:itemID="{3AEADC30-4F97-4638-AA2C-6B53B2CEA1F0}">
  <ds:schemaRefs/>
</ds:datastoreItem>
</file>

<file path=customXml/itemProps13.xml><?xml version="1.0" encoding="utf-8"?>
<ds:datastoreItem xmlns:ds="http://schemas.openxmlformats.org/officeDocument/2006/customXml" ds:itemID="{0B0999FE-E6DC-46F9-AD3B-DCC0ADBEF13C}">
  <ds:schemaRefs/>
</ds:datastoreItem>
</file>

<file path=customXml/itemProps14.xml><?xml version="1.0" encoding="utf-8"?>
<ds:datastoreItem xmlns:ds="http://schemas.openxmlformats.org/officeDocument/2006/customXml" ds:itemID="{D6EB6774-60CD-48FB-B778-039E56FB51D1}">
  <ds:schemaRefs/>
</ds:datastoreItem>
</file>

<file path=customXml/itemProps15.xml><?xml version="1.0" encoding="utf-8"?>
<ds:datastoreItem xmlns:ds="http://schemas.openxmlformats.org/officeDocument/2006/customXml" ds:itemID="{A779CA8B-02F6-4730-8F3A-375FCCC28F45}">
  <ds:schemaRefs/>
</ds:datastoreItem>
</file>

<file path=customXml/itemProps16.xml><?xml version="1.0" encoding="utf-8"?>
<ds:datastoreItem xmlns:ds="http://schemas.openxmlformats.org/officeDocument/2006/customXml" ds:itemID="{39EB65C0-436A-48CA-A03C-B8E67559EFA0}">
  <ds:schemaRefs/>
</ds:datastoreItem>
</file>

<file path=customXml/itemProps17.xml><?xml version="1.0" encoding="utf-8"?>
<ds:datastoreItem xmlns:ds="http://schemas.openxmlformats.org/officeDocument/2006/customXml" ds:itemID="{50B22CB9-9D26-4B3A-B267-01B35CF5E427}">
  <ds:schemaRefs/>
</ds:datastoreItem>
</file>

<file path=customXml/itemProps18.xml><?xml version="1.0" encoding="utf-8"?>
<ds:datastoreItem xmlns:ds="http://schemas.openxmlformats.org/officeDocument/2006/customXml" ds:itemID="{6BC5105E-459F-455D-955A-586FAC9EEA63}">
  <ds:schemaRefs/>
</ds:datastoreItem>
</file>

<file path=customXml/itemProps19.xml><?xml version="1.0" encoding="utf-8"?>
<ds:datastoreItem xmlns:ds="http://schemas.openxmlformats.org/officeDocument/2006/customXml" ds:itemID="{085C0126-8DE3-42B1-9FF6-9652CC1404FE}">
  <ds:schemaRefs/>
</ds:datastoreItem>
</file>

<file path=customXml/itemProps20.xml><?xml version="1.0" encoding="utf-8"?>
<ds:datastoreItem xmlns:ds="http://schemas.openxmlformats.org/officeDocument/2006/customXml" ds:itemID="{8279B020-8ACD-4A35-BE32-703B9B2E5CA8}">
  <ds:schemaRefs/>
</ds:datastoreItem>
</file>

<file path=customXml/itemProps21.xml><?xml version="1.0" encoding="utf-8"?>
<ds:datastoreItem xmlns:ds="http://schemas.openxmlformats.org/officeDocument/2006/customXml" ds:itemID="{C7DB7A99-076B-446E-95A9-63471BA81921}">
  <ds:schemaRefs/>
</ds:datastoreItem>
</file>

<file path=customXml/itemProps22.xml><?xml version="1.0" encoding="utf-8"?>
<ds:datastoreItem xmlns:ds="http://schemas.openxmlformats.org/officeDocument/2006/customXml" ds:itemID="{D1F90EAD-9D59-4FD8-9937-CAF3F07BD1F0}">
  <ds:schemaRefs/>
</ds:datastoreItem>
</file>

<file path=customXml/itemProps23.xml><?xml version="1.0" encoding="utf-8"?>
<ds:datastoreItem xmlns:ds="http://schemas.openxmlformats.org/officeDocument/2006/customXml" ds:itemID="{F0E3A615-C98F-4A41-A909-F79BAEA5974C}">
  <ds:schemaRefs/>
</ds:datastoreItem>
</file>

<file path=customXml/itemProps24.xml><?xml version="1.0" encoding="utf-8"?>
<ds:datastoreItem xmlns:ds="http://schemas.openxmlformats.org/officeDocument/2006/customXml" ds:itemID="{1666255B-29E1-442A-8DD1-7B4FC9A28481}">
  <ds:schemaRefs/>
</ds:datastoreItem>
</file>

<file path=customXml/itemProps25.xml><?xml version="1.0" encoding="utf-8"?>
<ds:datastoreItem xmlns:ds="http://schemas.openxmlformats.org/officeDocument/2006/customXml" ds:itemID="{188AAACB-7F92-43A5-AE11-0467020425A3}">
  <ds:schemaRefs/>
</ds:datastoreItem>
</file>

<file path=customXml/itemProps26.xml><?xml version="1.0" encoding="utf-8"?>
<ds:datastoreItem xmlns:ds="http://schemas.openxmlformats.org/officeDocument/2006/customXml" ds:itemID="{BFFF256B-1A0A-4A74-9F29-50F9867E4D71}">
  <ds:schemaRefs/>
</ds:datastoreItem>
</file>

<file path=customXml/itemProps27.xml><?xml version="1.0" encoding="utf-8"?>
<ds:datastoreItem xmlns:ds="http://schemas.openxmlformats.org/officeDocument/2006/customXml" ds:itemID="{C248A8F6-08FB-420C-B358-3F392B03BC33}">
  <ds:schemaRefs/>
</ds:datastoreItem>
</file>

<file path=customXml/itemProps28.xml><?xml version="1.0" encoding="utf-8"?>
<ds:datastoreItem xmlns:ds="http://schemas.openxmlformats.org/officeDocument/2006/customXml" ds:itemID="{0788BA30-7950-483C-BC77-7B2462115400}">
  <ds:schemaRefs/>
</ds:datastoreItem>
</file>

<file path=customXml/itemProps29.xml><?xml version="1.0" encoding="utf-8"?>
<ds:datastoreItem xmlns:ds="http://schemas.openxmlformats.org/officeDocument/2006/customXml" ds:itemID="{3D629E62-5A36-4502-ADA4-93FF4C9BC743}">
  <ds:schemaRefs/>
</ds:datastoreItem>
</file>

<file path=customXml/itemProps30.xml><?xml version="1.0" encoding="utf-8"?>
<ds:datastoreItem xmlns:ds="http://schemas.openxmlformats.org/officeDocument/2006/customXml" ds:itemID="{B1A63750-B622-48D8-83CD-116F80FBE4E1}">
  <ds:schemaRefs/>
</ds:datastoreItem>
</file>

<file path=customXml/itemProps31.xml><?xml version="1.0" encoding="utf-8"?>
<ds:datastoreItem xmlns:ds="http://schemas.openxmlformats.org/officeDocument/2006/customXml" ds:itemID="{CE3DBEA5-EA9D-446E-B8FB-F02381AB2CD9}">
  <ds:schemaRefs/>
</ds:datastoreItem>
</file>

<file path=customXml/itemProps32.xml><?xml version="1.0" encoding="utf-8"?>
<ds:datastoreItem xmlns:ds="http://schemas.openxmlformats.org/officeDocument/2006/customXml" ds:itemID="{647CF2BC-8EE7-4A6E-BDDB-1E96701D1B93}">
  <ds:schemaRefs/>
</ds:datastoreItem>
</file>

<file path=customXml/itemProps33.xml><?xml version="1.0" encoding="utf-8"?>
<ds:datastoreItem xmlns:ds="http://schemas.openxmlformats.org/officeDocument/2006/customXml" ds:itemID="{2CF07593-E1CA-445E-AF8F-109850BB61E0}">
  <ds:schemaRefs/>
</ds:datastoreItem>
</file>

<file path=customXml/itemProps34.xml><?xml version="1.0" encoding="utf-8"?>
<ds:datastoreItem xmlns:ds="http://schemas.openxmlformats.org/officeDocument/2006/customXml" ds:itemID="{965A04C2-FE13-4F55-B98E-B2B54FE136DE}">
  <ds:schemaRefs/>
</ds:datastoreItem>
</file>

<file path=customXml/itemProps35.xml><?xml version="1.0" encoding="utf-8"?>
<ds:datastoreItem xmlns:ds="http://schemas.openxmlformats.org/officeDocument/2006/customXml" ds:itemID="{EF5739C0-50AE-4062-8A9C-14E8F81C4B20}">
  <ds:schemaRefs/>
</ds:datastoreItem>
</file>

<file path=customXml/itemProps36.xml><?xml version="1.0" encoding="utf-8"?>
<ds:datastoreItem xmlns:ds="http://schemas.openxmlformats.org/officeDocument/2006/customXml" ds:itemID="{B86A3B93-7B71-476B-AA4E-20917591B5F7}">
  <ds:schemaRefs/>
</ds:datastoreItem>
</file>

<file path=customXml/itemProps37.xml><?xml version="1.0" encoding="utf-8"?>
<ds:datastoreItem xmlns:ds="http://schemas.openxmlformats.org/officeDocument/2006/customXml" ds:itemID="{F43DAF6F-BFE7-4FBA-A8C8-ED889E9DE05F}">
  <ds:schemaRefs/>
</ds:datastoreItem>
</file>

<file path=customXml/itemProps38.xml><?xml version="1.0" encoding="utf-8"?>
<ds:datastoreItem xmlns:ds="http://schemas.openxmlformats.org/officeDocument/2006/customXml" ds:itemID="{C7DA2D27-5498-4723-A933-7C44B6F63E9F}">
  <ds:schemaRefs/>
</ds:datastoreItem>
</file>

<file path=customXml/itemProps39.xml><?xml version="1.0" encoding="utf-8"?>
<ds:datastoreItem xmlns:ds="http://schemas.openxmlformats.org/officeDocument/2006/customXml" ds:itemID="{DE724A6E-F238-4925-8BDA-9C61C1C52D8E}">
  <ds:schemaRefs/>
</ds:datastoreItem>
</file>

<file path=customXml/itemProps40.xml><?xml version="1.0" encoding="utf-8"?>
<ds:datastoreItem xmlns:ds="http://schemas.openxmlformats.org/officeDocument/2006/customXml" ds:itemID="{51225CB0-8DB5-4AE6-AD1B-93033D07CA9E}">
  <ds:schemaRefs/>
</ds:datastoreItem>
</file>

<file path=customXml/itemProps41.xml><?xml version="1.0" encoding="utf-8"?>
<ds:datastoreItem xmlns:ds="http://schemas.openxmlformats.org/officeDocument/2006/customXml" ds:itemID="{B31937F6-AC5F-4025-8942-22700620A54D}">
  <ds:schemaRefs/>
</ds:datastoreItem>
</file>

<file path=customXml/itemProps42.xml><?xml version="1.0" encoding="utf-8"?>
<ds:datastoreItem xmlns:ds="http://schemas.openxmlformats.org/officeDocument/2006/customXml" ds:itemID="{5E2A4251-714C-45B1-BC9D-D5F99E65FDA8}">
  <ds:schemaRefs/>
</ds:datastoreItem>
</file>

<file path=customXml/itemProps43.xml><?xml version="1.0" encoding="utf-8"?>
<ds:datastoreItem xmlns:ds="http://schemas.openxmlformats.org/officeDocument/2006/customXml" ds:itemID="{6AFC1360-46C5-442F-AF24-7FA49E81DD71}">
  <ds:schemaRefs/>
</ds:datastoreItem>
</file>

<file path=customXml/itemProps44.xml><?xml version="1.0" encoding="utf-8"?>
<ds:datastoreItem xmlns:ds="http://schemas.openxmlformats.org/officeDocument/2006/customXml" ds:itemID="{4070D4FC-C559-456A-B55C-22D5A9117F7D}">
  <ds:schemaRefs/>
</ds:datastoreItem>
</file>

<file path=customXml/itemProps45.xml><?xml version="1.0" encoding="utf-8"?>
<ds:datastoreItem xmlns:ds="http://schemas.openxmlformats.org/officeDocument/2006/customXml" ds:itemID="{EAC9344C-20A3-42AB-A847-8FBCB9A9B19C}">
  <ds:schemaRefs/>
</ds:datastoreItem>
</file>

<file path=customXml/itemProps46.xml><?xml version="1.0" encoding="utf-8"?>
<ds:datastoreItem xmlns:ds="http://schemas.openxmlformats.org/officeDocument/2006/customXml" ds:itemID="{763B6DA8-0DEF-4517-B1CA-23E1CD525C0D}">
  <ds:schemaRefs/>
</ds:datastoreItem>
</file>

<file path=customXml/itemProps47.xml><?xml version="1.0" encoding="utf-8"?>
<ds:datastoreItem xmlns:ds="http://schemas.openxmlformats.org/officeDocument/2006/customXml" ds:itemID="{9AA2DC77-941D-41FE-8E90-50DC3588B25B}">
  <ds:schemaRefs/>
</ds:datastoreItem>
</file>

<file path=customXml/itemProps48.xml><?xml version="1.0" encoding="utf-8"?>
<ds:datastoreItem xmlns:ds="http://schemas.openxmlformats.org/officeDocument/2006/customXml" ds:itemID="{CD184B27-B5CB-4178-92AF-45D6777CA74A}">
  <ds:schemaRefs/>
</ds:datastoreItem>
</file>

<file path=customXml/itemProps49.xml><?xml version="1.0" encoding="utf-8"?>
<ds:datastoreItem xmlns:ds="http://schemas.openxmlformats.org/officeDocument/2006/customXml" ds:itemID="{8C7BAF06-DC0B-4E5F-BAF7-80749DCD2993}">
  <ds:schemaRefs/>
</ds:datastoreItem>
</file>

<file path=customXml/itemProps50.xml><?xml version="1.0" encoding="utf-8"?>
<ds:datastoreItem xmlns:ds="http://schemas.openxmlformats.org/officeDocument/2006/customXml" ds:itemID="{15529970-158E-4953-9BA7-E124CE7772C8}">
  <ds:schemaRefs/>
</ds:datastoreItem>
</file>

<file path=customXml/itemProps51.xml><?xml version="1.0" encoding="utf-8"?>
<ds:datastoreItem xmlns:ds="http://schemas.openxmlformats.org/officeDocument/2006/customXml" ds:itemID="{FB877F86-5042-4585-829F-65F92E7E3E9B}">
  <ds:schemaRefs/>
</ds:datastoreItem>
</file>

<file path=customXml/itemProps52.xml><?xml version="1.0" encoding="utf-8"?>
<ds:datastoreItem xmlns:ds="http://schemas.openxmlformats.org/officeDocument/2006/customXml" ds:itemID="{E4D2DF28-EE4D-49DE-8A6C-E213B26ECC49}">
  <ds:schemaRefs/>
</ds:datastoreItem>
</file>

<file path=customXml/itemProps53.xml><?xml version="1.0" encoding="utf-8"?>
<ds:datastoreItem xmlns:ds="http://schemas.openxmlformats.org/officeDocument/2006/customXml" ds:itemID="{DE2C231A-EA14-4108-B9FA-EA1123A040B9}">
  <ds:schemaRefs/>
</ds:datastoreItem>
</file>

<file path=customXml/itemProps54.xml><?xml version="1.0" encoding="utf-8"?>
<ds:datastoreItem xmlns:ds="http://schemas.openxmlformats.org/officeDocument/2006/customXml" ds:itemID="{D657405D-670D-4965-8F06-85B257D9C7B7}">
  <ds:schemaRefs/>
</ds:datastoreItem>
</file>

<file path=customXml/itemProps55.xml><?xml version="1.0" encoding="utf-8"?>
<ds:datastoreItem xmlns:ds="http://schemas.openxmlformats.org/officeDocument/2006/customXml" ds:itemID="{EE2DE687-A100-4A6A-8BCF-45E87FEDA840}">
  <ds:schemaRefs/>
</ds:datastoreItem>
</file>

<file path=customXml/itemProps56.xml><?xml version="1.0" encoding="utf-8"?>
<ds:datastoreItem xmlns:ds="http://schemas.openxmlformats.org/officeDocument/2006/customXml" ds:itemID="{95CDE9D4-0772-4A4B-99D6-D75D347CE202}">
  <ds:schemaRefs/>
</ds:datastoreItem>
</file>

<file path=customXml/itemProps57.xml><?xml version="1.0" encoding="utf-8"?>
<ds:datastoreItem xmlns:ds="http://schemas.openxmlformats.org/officeDocument/2006/customXml" ds:itemID="{2EE30F70-900F-4C15-B428-36E560FE5E2B}">
  <ds:schemaRefs/>
</ds:datastoreItem>
</file>

<file path=customXml/itemProps58.xml><?xml version="1.0" encoding="utf-8"?>
<ds:datastoreItem xmlns:ds="http://schemas.openxmlformats.org/officeDocument/2006/customXml" ds:itemID="{577AE0D0-8882-4632-96FE-505DE336D930}">
  <ds:schemaRefs/>
</ds:datastoreItem>
</file>

<file path=customXml/itemProps59.xml><?xml version="1.0" encoding="utf-8"?>
<ds:datastoreItem xmlns:ds="http://schemas.openxmlformats.org/officeDocument/2006/customXml" ds:itemID="{71C1E905-7EBC-47E4-9E27-A494BEC2BCCD}">
  <ds:schemaRefs/>
</ds:datastoreItem>
</file>

<file path=customXml/itemProps60.xml><?xml version="1.0" encoding="utf-8"?>
<ds:datastoreItem xmlns:ds="http://schemas.openxmlformats.org/officeDocument/2006/customXml" ds:itemID="{01B39148-E7D5-4C5F-8132-1858E6D8E953}">
  <ds:schemaRefs/>
</ds:datastoreItem>
</file>

<file path=customXml/itemProps61.xml><?xml version="1.0" encoding="utf-8"?>
<ds:datastoreItem xmlns:ds="http://schemas.openxmlformats.org/officeDocument/2006/customXml" ds:itemID="{D92C8EFB-DB9D-44EF-A3F6-3426F8E6F469}">
  <ds:schemaRefs/>
</ds:datastoreItem>
</file>

<file path=customXml/itemProps62.xml><?xml version="1.0" encoding="utf-8"?>
<ds:datastoreItem xmlns:ds="http://schemas.openxmlformats.org/officeDocument/2006/customXml" ds:itemID="{8C8F7B53-A51D-4CA1-81D8-7724C97B9AA9}">
  <ds:schemaRefs/>
</ds:datastoreItem>
</file>

<file path=customXml/itemProps63.xml><?xml version="1.0" encoding="utf-8"?>
<ds:datastoreItem xmlns:ds="http://schemas.openxmlformats.org/officeDocument/2006/customXml" ds:itemID="{A028E920-A7A8-4922-B451-833E3DE2D2D4}">
  <ds:schemaRefs/>
</ds:datastoreItem>
</file>

<file path=customXml/itemProps64.xml><?xml version="1.0" encoding="utf-8"?>
<ds:datastoreItem xmlns:ds="http://schemas.openxmlformats.org/officeDocument/2006/customXml" ds:itemID="{8385BD4D-197F-4939-BA0F-F2F4E32487C3}">
  <ds:schemaRefs/>
</ds:datastoreItem>
</file>

<file path=customXml/itemProps65.xml><?xml version="1.0" encoding="utf-8"?>
<ds:datastoreItem xmlns:ds="http://schemas.openxmlformats.org/officeDocument/2006/customXml" ds:itemID="{FD46EE94-FD7A-426A-93F0-F16DDAEDDB55}">
  <ds:schemaRefs/>
</ds:datastoreItem>
</file>

<file path=customXml/itemProps66.xml><?xml version="1.0" encoding="utf-8"?>
<ds:datastoreItem xmlns:ds="http://schemas.openxmlformats.org/officeDocument/2006/customXml" ds:itemID="{EDA61194-350F-4848-B2A7-6751CA370A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Grouped data</vt:lpstr>
      <vt:lpstr>Sales data Cleaned</vt:lpstr>
      <vt:lpstr>Pivots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Mostafa ELrkhawy</dc:creator>
  <cp:lastModifiedBy>Mostafa ELrkhawy</cp:lastModifiedBy>
  <dcterms:created xsi:type="dcterms:W3CDTF">2025-11-06T16:02:05Z</dcterms:created>
  <dcterms:modified xsi:type="dcterms:W3CDTF">2025-11-10T16:25:20Z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
  </property>
  <property fmtid="{D5CDD505-2E9C-101B-9397-08002B2CF9AE}" pid="3" name="Workbook type">
    <vt:lpwstr/>
  </property>
  <property fmtid="{D5CDD505-2E9C-101B-9397-08002B2CF9AE}" pid="4" name="Workbook version">
    <vt:lpwstr/>
  </property>
</Properties>
</file>